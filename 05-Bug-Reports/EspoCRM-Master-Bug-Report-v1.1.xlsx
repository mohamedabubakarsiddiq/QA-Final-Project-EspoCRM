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DDIQ\EspoCRM-QA-Automation\05-Bug-Reports\"/>
    </mc:Choice>
  </mc:AlternateContent>
  <xr:revisionPtr revIDLastSave="0" documentId="13_ncr:1_{73087BFE-EA6B-4346-AD8D-E2149977B5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Bug Report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B6" i="2"/>
  <c r="C5" i="2"/>
  <c r="B5" i="2"/>
  <c r="C4" i="2"/>
  <c r="C7" i="2" s="1"/>
  <c r="B4" i="2"/>
  <c r="B7" i="2" s="1"/>
</calcChain>
</file>

<file path=xl/sharedStrings.xml><?xml version="1.0" encoding="utf-8"?>
<sst xmlns="http://schemas.openxmlformats.org/spreadsheetml/2006/main" count="60" uniqueCount="52">
  <si>
    <t>Bug ID</t>
  </si>
  <si>
    <t>Module</t>
  </si>
  <si>
    <t>Title</t>
  </si>
  <si>
    <t>Test Case / Source</t>
  </si>
  <si>
    <t>Test Case ID</t>
  </si>
  <si>
    <t>Requirement ID</t>
  </si>
  <si>
    <t>Severity</t>
  </si>
  <si>
    <t>Priority</t>
  </si>
  <si>
    <t>Precondition / Preconditions</t>
  </si>
  <si>
    <t>Test Data</t>
  </si>
  <si>
    <t>Steps to Reproduce</t>
  </si>
  <si>
    <t>Expected Result</t>
  </si>
  <si>
    <t>Actual Result</t>
  </si>
  <si>
    <t>Environment</t>
  </si>
  <si>
    <t>Status</t>
  </si>
  <si>
    <t>Defect Classification</t>
  </si>
  <si>
    <t>Remarks</t>
  </si>
  <si>
    <t>BUG-ACC-001</t>
  </si>
  <si>
    <t>Accounts</t>
  </si>
  <si>
    <t>Audit Log displays 'Locked' after Account is unlocked</t>
  </si>
  <si>
    <t>Post-execution exploratory investigation</t>
  </si>
  <si>
    <t>Medium</t>
  </si>
  <si>
    <t>High</t>
  </si>
  <si>
    <t>An Account has been locked and is available to be unlocked.</t>
  </si>
  <si>
    <t>1. Open an Account. 
2. Lock the Account. 
3. Open Audit Log and verify the lock entry. 
4. Unlock the same Account.
5. Open/refresh Audit Log. 
6. Observe the entry generated for the unlock action.</t>
  </si>
  <si>
    <t>The Audit Log should accurately record the unlock action as 'Unlocked'.</t>
  </si>
  <si>
    <t>After the Account was unlocked, the Audit Log displayed 'Locked' for the action recorded after the unlock operation.</t>
  </si>
  <si>
    <t>EspoCRM 10.0.4, Docker, Windows, local environment (http://localhost:8081)</t>
  </si>
  <si>
    <t>Open</t>
  </si>
  <si>
    <t>Functional Defect</t>
  </si>
  <si>
    <t>Confirmed during post-execution exploratory review. The existing execution summary had previously identified Unlock auditing as an investigation item.</t>
  </si>
  <si>
    <t>BUG-CON-001</t>
  </si>
  <si>
    <t>Contacts</t>
  </si>
  <si>
    <t>Starred Email selection is not displayed after reopening Contact</t>
  </si>
  <si>
    <t>TC-CON-016</t>
  </si>
  <si>
    <t>FR-CON-011</t>
  </si>
  <si>
    <t>A Contact exists with multiple valid email addresses.</t>
  </si>
  <si>
    <t>Email 1: testcontact001@example.com; 
Email 2: testcontact002@example.com</t>
  </si>
  <si>
    <t>1. Open a Contact with multiple email addresses. 
2. Mark one email address as Starred. 
3. Save the Contact. 
4. Reopen the Contact. 
5. Observe the email addresses and Starred indication.</t>
  </si>
  <si>
    <t>The selected email should remain marked/highlighted as Starred after saving and reopening the Contact.</t>
  </si>
  <si>
    <t>Email details were saved successfully, but the selected email was not highlighted or otherwise indicated as Starred after reopening the Contact.</t>
  </si>
  <si>
    <t>Confirmed during Contacts test execution. The Starred control is available and can be selected, but the selected Starred state is not visibly retained after reopening.</t>
  </si>
  <si>
    <t>ESPCRM QA AUTOMATION PROJECT — MASTER BUG REPORT</t>
  </si>
  <si>
    <t>Current Active Scope</t>
  </si>
  <si>
    <t>Login, Accounts and Contacts</t>
  </si>
  <si>
    <t>Confirmed Defects</t>
  </si>
  <si>
    <t>Open Defects</t>
  </si>
  <si>
    <t>Defect IDs</t>
  </si>
  <si>
    <t>Login</t>
  </si>
  <si>
    <t>—</t>
  </si>
  <si>
    <t>Total</t>
  </si>
  <si>
    <t>2 open 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</si>
</sst>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C9D6"/>
      </left>
      <right style="thin">
        <color indexed="64"/>
      </right>
      <top style="thin">
        <color rgb="FFB7C9D6"/>
      </top>
      <bottom style="thin">
        <color rgb="FFB7C9D6"/>
      </bottom>
      <diagonal/>
    </border>
    <border>
      <left style="thin">
        <color indexed="64"/>
      </left>
      <right style="thin">
        <color indexed="64"/>
      </right>
      <top style="thin">
        <color rgb="FFB7C9D6"/>
      </top>
      <bottom style="thin">
        <color rgb="FFB7C9D6"/>
      </bottom>
      <diagonal/>
    </border>
    <border>
      <left style="thin">
        <color indexed="64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/>
    </xf>
    <xf numFmtId="0" fontId="1" fillId="4" borderId="2" xfId="0" applyFont="1" applyFill="1" applyBorder="1"/>
  </cellXfs>
  <cellStyles count="1">
    <cellStyle name="Normal" xfId="0" builtinId="0"/>
  </cellStyles>
  <dxfs count="1"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BugReportTable" displayName="MasterBugReportTable" ref="A1:Q3" totalsRowShown="0">
  <tableColumns count="17">
    <tableColumn id="1" xr3:uid="{00000000-0010-0000-0000-000001000000}" name="Bug ID"/>
    <tableColumn id="2" xr3:uid="{00000000-0010-0000-0000-000002000000}" name="Module"/>
    <tableColumn id="3" xr3:uid="{00000000-0010-0000-0000-000003000000}" name="Title"/>
    <tableColumn id="4" xr3:uid="{00000000-0010-0000-0000-000004000000}" name="Test Case / Source"/>
    <tableColumn id="5" xr3:uid="{00000000-0010-0000-0000-000005000000}" name="Test Case ID"/>
    <tableColumn id="6" xr3:uid="{00000000-0010-0000-0000-000006000000}" name="Requirement ID"/>
    <tableColumn id="7" xr3:uid="{00000000-0010-0000-0000-000007000000}" name="Severity"/>
    <tableColumn id="8" xr3:uid="{00000000-0010-0000-0000-000008000000}" name="Priority"/>
    <tableColumn id="9" xr3:uid="{00000000-0010-0000-0000-000009000000}" name="Precondition / Preconditions"/>
    <tableColumn id="10" xr3:uid="{00000000-0010-0000-0000-00000A000000}" name="Test Data"/>
    <tableColumn id="11" xr3:uid="{00000000-0010-0000-0000-00000B000000}" name="Steps to Reproduce"/>
    <tableColumn id="12" xr3:uid="{00000000-0010-0000-0000-00000C000000}" name="Expected Result"/>
    <tableColumn id="13" xr3:uid="{00000000-0010-0000-0000-00000D000000}" name="Actual Result"/>
    <tableColumn id="14" xr3:uid="{00000000-0010-0000-0000-00000E000000}" name="Environment"/>
    <tableColumn id="15" xr3:uid="{00000000-0010-0000-0000-00000F000000}" name="Status"/>
    <tableColumn id="16" xr3:uid="{00000000-0010-0000-0000-000010000000}" name="Defect Classification"/>
    <tableColumn id="17" xr3:uid="{00000000-0010-0000-0000-000011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J6" sqref="J6"/>
    </sheetView>
  </sheetViews>
  <sheetFormatPr defaultRowHeight="14.4" x14ac:dyDescent="0.3"/>
  <cols>
    <col min="1" max="1" width="12.77734375" bestFit="1" customWidth="1"/>
    <col min="2" max="2" width="8.44140625" bestFit="1" customWidth="1"/>
    <col min="3" max="3" width="37.5546875" bestFit="1" customWidth="1"/>
    <col min="4" max="4" width="23.44140625" bestFit="1" customWidth="1"/>
    <col min="5" max="5" width="11.21875" bestFit="1" customWidth="1"/>
    <col min="6" max="6" width="11.109375" bestFit="1" customWidth="1"/>
    <col min="7" max="8" width="7.6640625" bestFit="1" customWidth="1"/>
    <col min="9" max="9" width="27.5546875" bestFit="1" customWidth="1"/>
    <col min="10" max="10" width="33.6640625" bestFit="1" customWidth="1"/>
    <col min="11" max="11" width="41.33203125" bestFit="1" customWidth="1"/>
    <col min="12" max="12" width="33" bestFit="1" customWidth="1"/>
    <col min="13" max="13" width="41.33203125" bestFit="1" customWidth="1"/>
    <col min="14" max="14" width="34.88671875" bestFit="1" customWidth="1"/>
    <col min="15" max="15" width="5.5546875" bestFit="1" customWidth="1"/>
    <col min="16" max="16" width="15.44140625" bestFit="1" customWidth="1"/>
    <col min="17" max="17" width="47.5546875" bestFit="1" customWidth="1"/>
  </cols>
  <sheetData>
    <row r="1" spans="1:17" ht="11.55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</row>
    <row r="2" spans="1:17" ht="100.8" x14ac:dyDescent="0.3">
      <c r="A2" s="1" t="s">
        <v>17</v>
      </c>
      <c r="B2" s="1" t="s">
        <v>18</v>
      </c>
      <c r="C2" s="1" t="s">
        <v>19</v>
      </c>
      <c r="D2" s="1" t="s">
        <v>20</v>
      </c>
      <c r="E2" s="1"/>
      <c r="F2" s="1"/>
      <c r="G2" s="1" t="s">
        <v>21</v>
      </c>
      <c r="H2" s="1" t="s">
        <v>22</v>
      </c>
      <c r="I2" s="1" t="s">
        <v>23</v>
      </c>
      <c r="J2" s="1"/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</row>
    <row r="3" spans="1:17" ht="86.4" x14ac:dyDescent="0.3">
      <c r="A3" s="1" t="s">
        <v>31</v>
      </c>
      <c r="B3" s="1" t="s">
        <v>32</v>
      </c>
      <c r="C3" s="1" t="s">
        <v>33</v>
      </c>
      <c r="D3" s="1"/>
      <c r="E3" s="1" t="s">
        <v>34</v>
      </c>
      <c r="F3" s="1" t="s">
        <v>35</v>
      </c>
      <c r="G3" s="1" t="s">
        <v>21</v>
      </c>
      <c r="H3" s="1" t="s">
        <v>21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/>
      <c r="O3" s="1" t="s">
        <v>28</v>
      </c>
      <c r="P3" s="1"/>
      <c r="Q3" s="1" t="s">
        <v>41</v>
      </c>
    </row>
  </sheetData>
  <conditionalFormatting sqref="O2:O100">
    <cfRule type="expression" dxfId="0" priority="1">
      <formula>O2="Open"</formula>
    </cfRule>
  </conditionalFormatting>
  <dataValidations count="3">
    <dataValidation type="list" sqref="G2:G100" xr:uid="{00000000-0002-0000-0000-000000000000}">
      <formula1>"Critical,High,Medium,Low"</formula1>
    </dataValidation>
    <dataValidation type="list" sqref="H2:H100" xr:uid="{00000000-0002-0000-0000-000001000000}">
      <formula1>"High,Medium,Low"</formula1>
    </dataValidation>
    <dataValidation type="list" sqref="O2:O100" xr:uid="{00000000-0002-0000-0000-000002000000}">
      <formula1>"Open,In Progress,Fixed,Closed,Deferred"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C15" sqref="C15"/>
    </sheetView>
  </sheetViews>
  <sheetFormatPr defaultRowHeight="14.4" x14ac:dyDescent="0.3"/>
  <cols>
    <col min="1" max="4" width="24" customWidth="1"/>
  </cols>
  <sheetData>
    <row r="1" spans="1:4" ht="11.55" customHeight="1" x14ac:dyDescent="0.3">
      <c r="A1" s="8" t="s">
        <v>42</v>
      </c>
      <c r="B1" s="8"/>
      <c r="C1" s="8"/>
      <c r="D1" s="8"/>
    </row>
    <row r="2" spans="1:4" ht="11.55" customHeight="1" x14ac:dyDescent="0.3">
      <c r="A2" s="7" t="s">
        <v>43</v>
      </c>
      <c r="B2" s="7" t="s">
        <v>44</v>
      </c>
      <c r="C2" s="7"/>
      <c r="D2" s="7"/>
    </row>
    <row r="3" spans="1:4" ht="11.55" customHeight="1" x14ac:dyDescent="0.3">
      <c r="A3" s="6" t="s">
        <v>1</v>
      </c>
      <c r="B3" s="6" t="s">
        <v>45</v>
      </c>
      <c r="C3" s="6" t="s">
        <v>46</v>
      </c>
      <c r="D3" s="6" t="s">
        <v>47</v>
      </c>
    </row>
    <row r="4" spans="1:4" ht="11.55" customHeight="1" x14ac:dyDescent="0.3">
      <c r="A4" s="2" t="s">
        <v>48</v>
      </c>
      <c r="B4" s="2">
        <f>COUNTIF('Master Bug Report'!$B$2:$B$100,A4)</f>
        <v>0</v>
      </c>
      <c r="C4" s="2">
        <f>COUNTIFS('Master Bug Report'!$B$2:$B$100,A4,'Master Bug Report'!$O$2:$O$100,"Open")</f>
        <v>0</v>
      </c>
      <c r="D4" s="2" t="s">
        <v>49</v>
      </c>
    </row>
    <row r="5" spans="1:4" ht="11.55" customHeight="1" x14ac:dyDescent="0.3">
      <c r="A5" s="2" t="s">
        <v>18</v>
      </c>
      <c r="B5" s="2">
        <f>COUNTIF('Master Bug Report'!$B$2:$B$100,A5)</f>
        <v>1</v>
      </c>
      <c r="C5" s="2">
        <f>COUNTIFS('Master Bug Report'!$B$2:$B$100,A5,'Master Bug Report'!$O$2:$O$100,"Open")</f>
        <v>1</v>
      </c>
      <c r="D5" s="2" t="s">
        <v>17</v>
      </c>
    </row>
    <row r="6" spans="1:4" ht="11.55" customHeight="1" x14ac:dyDescent="0.3">
      <c r="A6" s="2" t="s">
        <v>32</v>
      </c>
      <c r="B6" s="2">
        <f>COUNTIF('Master Bug Report'!$B$2:$B$100,A6)</f>
        <v>1</v>
      </c>
      <c r="C6" s="2">
        <f>COUNTIFS('Master Bug Report'!$B$2:$B$100,A6,'Master Bug Report'!$O$2:$O$100,"Open")</f>
        <v>1</v>
      </c>
      <c r="D6" s="2" t="s">
        <v>31</v>
      </c>
    </row>
    <row r="7" spans="1:4" ht="11.55" customHeight="1" x14ac:dyDescent="0.3">
      <c r="A7" s="9" t="s">
        <v>50</v>
      </c>
      <c r="B7" s="9">
        <f>SUM(B4:B6)</f>
        <v>2</v>
      </c>
      <c r="C7" s="9">
        <f>SUM(C4:C6)</f>
        <v>2</v>
      </c>
      <c r="D7" s="9" t="s">
        <v>51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Bug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Abubakar Siddiq</cp:lastModifiedBy>
  <dcterms:modified xsi:type="dcterms:W3CDTF">2026-09-19T13:49:55Z</dcterms:modified>
</cp:coreProperties>
</file>