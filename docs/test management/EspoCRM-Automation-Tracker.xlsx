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DDIQ\EspoCRM-QA-Automation\docs\test management\"/>
    </mc:Choice>
  </mc:AlternateContent>
  <xr:revisionPtr revIDLastSave="0" documentId="13_ncr:1_{38D7E2B9-2EF5-4FD8-A50B-A7147B0386EF}" xr6:coauthVersionLast="47" xr6:coauthVersionMax="47" xr10:uidLastSave="{00000000-0000-0000-0000-000000000000}"/>
  <bookViews>
    <workbookView xWindow="-108" yWindow="-108" windowWidth="23256" windowHeight="12456" activeTab="1" xr2:uid="{00000000-000D-0000-FFFF-FFFF00000000}"/>
  </bookViews>
  <sheets>
    <sheet name="Dashboard" sheetId="1" r:id="rId1"/>
    <sheet name="Automation Tracker" sheetId="2" r:id="rId2"/>
    <sheet name="Execution History" sheetId="3" r:id="rId3"/>
    <sheet name="Test Data Strategy" sheetId="4" r:id="rId4"/>
    <sheet name="Manual Cas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 l="1"/>
  <c r="B7" i="1"/>
  <c r="H6" i="1" s="1"/>
  <c r="B6" i="1"/>
  <c r="H5" i="1" s="1"/>
  <c r="B5" i="1"/>
  <c r="B8" i="1" s="1"/>
  <c r="B12" i="1" l="1"/>
  <c r="H4" i="1"/>
</calcChain>
</file>

<file path=xl/sharedStrings.xml><?xml version="1.0" encoding="utf-8"?>
<sst xmlns="http://schemas.openxmlformats.org/spreadsheetml/2006/main" count="1090" uniqueCount="406">
  <si>
    <t>EspoCRM QA Automation — Accounts Module Tracker</t>
  </si>
  <si>
    <t>Metric</t>
  </si>
  <si>
    <t>Value</t>
  </si>
  <si>
    <t>Automation Status</t>
  </si>
  <si>
    <t>Count</t>
  </si>
  <si>
    <t>Test Case ID</t>
  </si>
  <si>
    <t>Requirement ID</t>
  </si>
  <si>
    <t>Scenario ID</t>
  </si>
  <si>
    <t>Module</t>
  </si>
  <si>
    <t>Test Case</t>
  </si>
  <si>
    <t>Preconditions</t>
  </si>
  <si>
    <t>Test Data</t>
  </si>
  <si>
    <t>Priority</t>
  </si>
  <si>
    <t>Manual Status</t>
  </si>
  <si>
    <t>Automation Class</t>
  </si>
  <si>
    <t>Automation Method</t>
  </si>
  <si>
    <t>Test Data Strategy</t>
  </si>
  <si>
    <t>Notes</t>
  </si>
  <si>
    <t>TC-ACC-001</t>
  </si>
  <si>
    <t>FR-ACC-001</t>
  </si>
  <si>
    <t>TS-ACC-001</t>
  </si>
  <si>
    <t>Accounts</t>
  </si>
  <si>
    <t>Verify user can access the Accounts module</t>
  </si>
  <si>
    <t>User is logged in as an authorized EspoCRM user.</t>
  </si>
  <si>
    <t>N/A</t>
  </si>
  <si>
    <t>Medium</t>
  </si>
  <si>
    <t>Pass</t>
  </si>
  <si>
    <t>Automated</t>
  </si>
  <si>
    <t>AccountsTest</t>
  </si>
  <si>
    <t>verifyAccountsModuleAccess</t>
  </si>
  <si>
    <t>Existing application data</t>
  </si>
  <si>
    <t>Directly automated</t>
  </si>
  <si>
    <t>TC-ACC-002</t>
  </si>
  <si>
    <t>FR-ACC-002</t>
  </si>
  <si>
    <t>TS-ACC-002</t>
  </si>
  <si>
    <t>Verify Accounts list displays empty state when no accounts exist</t>
  </si>
  <si>
    <t>User is logged in and no Account records exist.</t>
  </si>
  <si>
    <t>TC-ACC-003</t>
  </si>
  <si>
    <t>FR-ACC-003</t>
  </si>
  <si>
    <t>TS-ACC-003</t>
  </si>
  <si>
    <t>Verify user can open the Create Account form</t>
  </si>
  <si>
    <t>TC-ACC-004</t>
  </si>
  <si>
    <t>FR-ACC-004</t>
  </si>
  <si>
    <t>TS-ACC-004</t>
  </si>
  <si>
    <t>Verify Account Name field is displayed</t>
  </si>
  <si>
    <t>TC-ACC-005</t>
  </si>
  <si>
    <t>Verify Account Name is mandatory</t>
  </si>
  <si>
    <t>Account Name: Blank</t>
  </si>
  <si>
    <t>High</t>
  </si>
  <si>
    <t>AccountsCreateTest</t>
  </si>
  <si>
    <t>verifyAccountNameMandatory</t>
  </si>
  <si>
    <t>Account Name mandatory validation verified</t>
  </si>
  <si>
    <t>TC-ACC-006</t>
  </si>
  <si>
    <t>Verify account can be created with only Account Name</t>
  </si>
  <si>
    <t>Account Name: Test Account 001
All optional fields: Blank</t>
  </si>
  <si>
    <t>verifyCreateAccount</t>
  </si>
  <si>
    <t>Unique generated account + cleanup</t>
  </si>
  <si>
    <t>Create with Account Name</t>
  </si>
  <si>
    <t>TC-ACC-007</t>
  </si>
  <si>
    <t>Verify account can be created with Account Name and optional fields</t>
  </si>
  <si>
    <t>Account Name: Test Account 002
Website: https://example.com
Phone: 9876543210
Email: testaccount@example.com
Description: Test account</t>
  </si>
  <si>
    <t>verifyCreateAccountWithOptionalFields</t>
  </si>
  <si>
    <t>Unique generated account name + unique email + cleanup</t>
  </si>
  <si>
    <t>Account created successfully with Website, Phone, Email and Description</t>
  </si>
  <si>
    <t>TC-ACC-008</t>
  </si>
  <si>
    <t>FR-ACC-011</t>
  </si>
  <si>
    <t>TS-ACC-011</t>
  </si>
  <si>
    <t>Verify Save button creates the account</t>
  </si>
  <si>
    <t>Account Name: Test Account 003</t>
  </si>
  <si>
    <t>Save/create verification</t>
  </si>
  <si>
    <t>TC-ACC-009</t>
  </si>
  <si>
    <t>FR-ACC-012</t>
  </si>
  <si>
    <t>TS-ACC-012</t>
  </si>
  <si>
    <t>Verify Cancel button cancels account creation</t>
  </si>
  <si>
    <t>verifyCancelAccountCreation</t>
  </si>
  <si>
    <t>Cancel returns user to Accounts page</t>
  </si>
  <si>
    <t>TC-ACC-010</t>
  </si>
  <si>
    <t>Verify newly created account appears in the Accounts list</t>
  </si>
  <si>
    <t>Account Name: Test Account 004</t>
  </si>
  <si>
    <t>verifyCreatedAccountAppearsInList</t>
  </si>
  <si>
    <t>Newly created Account verified in Accounts list</t>
  </si>
  <si>
    <t>TC-ACC-011</t>
  </si>
  <si>
    <t>Verify Accounts list displays existing accounts</t>
  </si>
  <si>
    <t>User is logged in as an authorized EspoCRM user and at least one Account record exists</t>
  </si>
  <si>
    <t>Existing Account record</t>
  </si>
  <si>
    <t>verifyAccountsListDisplayed</t>
  </si>
  <si>
    <t>Existing Accounts list</t>
  </si>
  <si>
    <t>TC-ACC-012</t>
  </si>
  <si>
    <t>FR-ACC-017</t>
  </si>
  <si>
    <t>TS-ACC-017</t>
  </si>
  <si>
    <t>Verify user can view Account details</t>
  </si>
  <si>
    <t>User is logged in as an authorized EspoCRM user and an existing Account is available.</t>
  </si>
  <si>
    <t>TC-ACC-013</t>
  </si>
  <si>
    <t>FR-ACC-018</t>
  </si>
  <si>
    <t>TS-ACC-018</t>
  </si>
  <si>
    <t>Verify user can edit Account details</t>
  </si>
  <si>
    <t>Account Name: Test Account 004
Description: Day 3 Edit Test</t>
  </si>
  <si>
    <t>AccountEditTest</t>
  </si>
  <si>
    <t>verifyEditAccount</t>
  </si>
  <si>
    <t>Edit flow</t>
  </si>
  <si>
    <t>TC-ACC-014</t>
  </si>
  <si>
    <t>Verify edited Account data is saved</t>
  </si>
  <si>
    <t>Updated name verification</t>
  </si>
  <si>
    <t>TC-ACC-015</t>
  </si>
  <si>
    <t>FR-ACC-019</t>
  </si>
  <si>
    <t>TS-ACC-019</t>
  </si>
  <si>
    <t>Verify Delete action displays confirmation</t>
  </si>
  <si>
    <t>Account Name: Test Account Myonly 001</t>
  </si>
  <si>
    <t>AccountDeleteTest</t>
  </si>
  <si>
    <t>verifyDeleteConfirmationDispplayed</t>
  </si>
  <si>
    <t>Delete confirmation message verified and deletion cancelled</t>
  </si>
  <si>
    <t>TC-ACC-016</t>
  </si>
  <si>
    <t>Verify user can delete an Account</t>
  </si>
  <si>
    <t>deleteAccountFromList / deleteAccountFromDetails</t>
  </si>
  <si>
    <t>Unique generated account</t>
  </si>
  <si>
    <t>Both delete entry points are automated</t>
  </si>
  <si>
    <t>TC-ACC-017</t>
  </si>
  <si>
    <t>Verify deleted Account cannot be found</t>
  </si>
  <si>
    <t>Deletion verified by disappearance</t>
  </si>
  <si>
    <t>TC-ACC-018</t>
  </si>
  <si>
    <t>FR-ACC-020</t>
  </si>
  <si>
    <t>TS-ACC-020</t>
  </si>
  <si>
    <t>Verify Duplicate action detects an existing Account</t>
  </si>
  <si>
    <t>AccountDuplicateTest</t>
  </si>
  <si>
    <t>verifyDuplicateAccountDetection</t>
  </si>
  <si>
    <t>Duplicate → Save/Create → duplicate warning verified; modal closed after verification</t>
  </si>
  <si>
    <t>TC-ACC-019</t>
  </si>
  <si>
    <t>Verify duplicated Account can be saved after changing data</t>
  </si>
  <si>
    <t>Original Account: Test Account 004
New Account Name: Test Account Duplicate 001</t>
  </si>
  <si>
    <t>verifyDuplicateAccountCanBeSavedAfterChangingData</t>
  </si>
  <si>
    <t>Unique generated account name + cleanup</t>
  </si>
  <si>
    <t>Duplicate → change Account Name → Save/Create → new Account verified and cleaned up</t>
  </si>
  <si>
    <t>TC-ACC-020</t>
  </si>
  <si>
    <t>FR-ACC-021</t>
  </si>
  <si>
    <t>TS-ACC-021</t>
  </si>
  <si>
    <t>Verify Personal Data option is available</t>
  </si>
  <si>
    <t>AccountsPersonalDataTest</t>
  </si>
  <si>
    <t>verifyViewPersonalData</t>
  </si>
  <si>
    <t>Existing Account – Test Account 003</t>
  </si>
  <si>
    <t>View Personal Data dialog opened, account name verified, and dialog closed</t>
  </si>
  <si>
    <t>TC-ACC-021</t>
  </si>
  <si>
    <t>FR-ACC-022</t>
  </si>
  <si>
    <t>TS-ACC-022</t>
  </si>
  <si>
    <t>Verify Followers section allows a user to be followed</t>
  </si>
  <si>
    <t>Account Name: Test Account 004
Follower: Admin</t>
  </si>
  <si>
    <t>TC-ACC-022</t>
  </si>
  <si>
    <t>Verify followed Account appears in Followed filter</t>
  </si>
  <si>
    <t>TC-ACC-023</t>
  </si>
  <si>
    <t>Verify user can unfollow an Account</t>
  </si>
  <si>
    <t>TC-ACC-024</t>
  </si>
  <si>
    <t>Verify unfollowed Account is removed from Followed filter</t>
  </si>
  <si>
    <t>TC-ACC-025</t>
  </si>
  <si>
    <t>FR-ACC-023</t>
  </si>
  <si>
    <t>TS-ACC-023</t>
  </si>
  <si>
    <t>Verify Account Audit Log displays recorded activities</t>
  </si>
  <si>
    <t>TC-ACC-026</t>
  </si>
  <si>
    <t>FR-ACC-024</t>
  </si>
  <si>
    <t>TS-ACC-024</t>
  </si>
  <si>
    <t>Verify User Access displays Read, Edit, Delete and Stream access</t>
  </si>
  <si>
    <t>TC-ACC-027</t>
  </si>
  <si>
    <t>FR-ACC-025</t>
  </si>
  <si>
    <t>TS-ACC-025</t>
  </si>
  <si>
    <t>Verify locked Account cannot be edited</t>
  </si>
  <si>
    <t>TC-ACC-028</t>
  </si>
  <si>
    <t>Verify locked Account can be unlocked</t>
  </si>
  <si>
    <t>TC-ACC-029</t>
  </si>
  <si>
    <t>Verify Account can be edited after unlocking</t>
  </si>
  <si>
    <t>TC-ACC-030</t>
  </si>
  <si>
    <t>FR-ACC-013</t>
  </si>
  <si>
    <t>TS-ACC-013</t>
  </si>
  <si>
    <t>Verify phone number can be saved without country code</t>
  </si>
  <si>
    <t>TC-ACC-031</t>
  </si>
  <si>
    <t>Verify phone number can be saved with India country code</t>
  </si>
  <si>
    <t>Country: India (+91)
Phone: 9876543210</t>
  </si>
  <si>
    <t>TC-ACC-032</t>
  </si>
  <si>
    <t>FR-ACC-016</t>
  </si>
  <si>
    <t>TS-ACC-016</t>
  </si>
  <si>
    <t>Verify All filter displays available Accounts</t>
  </si>
  <si>
    <t>TC-ACC-033</t>
  </si>
  <si>
    <t>Verify Recently Created filter displays recently created Accounts</t>
  </si>
  <si>
    <t>Recently created Account records</t>
  </si>
  <si>
    <t>TC-ACC-034</t>
  </si>
  <si>
    <t>Verify Starred filter displays starred Accounts</t>
  </si>
  <si>
    <t>TC-ACC-035</t>
  </si>
  <si>
    <t>Verify Only My filter displays Accounts assigned to current user</t>
  </si>
  <si>
    <t>User is logged in as Admin and an Account is assigned to Admin.</t>
  </si>
  <si>
    <t>Account Name: Test Account OnlyMy 001
Assigned User: Admin</t>
  </si>
  <si>
    <t>TC-ACC-036</t>
  </si>
  <si>
    <t>Verify Followed filter displays followed Accounts</t>
  </si>
  <si>
    <t>User is logged in as an authorized EspoCRM user and at least one Account is followed.</t>
  </si>
  <si>
    <t>Date</t>
  </si>
  <si>
    <t>Suite / Scope</t>
  </si>
  <si>
    <t>Tests Planned</t>
  </si>
  <si>
    <t>Tests Run</t>
  </si>
  <si>
    <t>Passed</t>
  </si>
  <si>
    <t>Failed</t>
  </si>
  <si>
    <t>Skipped</t>
  </si>
  <si>
    <t>Result</t>
  </si>
  <si>
    <t>Accounts regression</t>
  </si>
  <si>
    <t>PASS</t>
  </si>
  <si>
    <t>Latest full Accounts regression completed successfully.</t>
  </si>
  <si>
    <t>Create, mandatory-name validation, optional fields, cancel, and list verification passed.</t>
  </si>
  <si>
    <t>Duplicate detection and duplicate-save-after-change scenarios passed.</t>
  </si>
  <si>
    <t>Delete confirmation, delete from list, and delete from details passed.</t>
  </si>
  <si>
    <t>Full Accounts Regression</t>
  </si>
  <si>
    <t>TC-ACC-020 added; full Accounts regression completed successfully with 19/19 tests passing.</t>
  </si>
  <si>
    <t>Scenario</t>
  </si>
  <si>
    <t>Recommended strategy</t>
  </si>
  <si>
    <t>Current implementation</t>
  </si>
  <si>
    <t>Reason</t>
  </si>
  <si>
    <t>Create</t>
  </si>
  <si>
    <t>Generate unique Account name; clean up after test</t>
  </si>
  <si>
    <t>Unique name + cleanup</t>
  </si>
  <si>
    <t>Avoid duplicate-name prompts and database pollution</t>
  </si>
  <si>
    <t>Edit</t>
  </si>
  <si>
    <t>Create unique Account; edit to unique updated name; clean up</t>
  </si>
  <si>
    <t>Unique original + updated name + cleanup</t>
  </si>
  <si>
    <t>Avoid ambiguous duplicate Account names and ensure repeatability</t>
  </si>
  <si>
    <t>Search</t>
  </si>
  <si>
    <t>Use an existing Account name supplied in test data</t>
  </si>
  <si>
    <t>Existing Account; name is set in test</t>
  </si>
  <si>
    <t>Search should focus on search behavior and avoid Create dependency</t>
  </si>
  <si>
    <t>Delete</t>
  </si>
  <si>
    <t>Create unique temporary Account; delete it; verify deletion</t>
  </si>
  <si>
    <t>Unique temporary Account + verification</t>
  </si>
  <si>
    <t>Repeatable and avoids destroying permanent records</t>
  </si>
  <si>
    <t>Module/List access</t>
  </si>
  <si>
    <t>Use existing application data</t>
  </si>
  <si>
    <t>Existing Accounts data</t>
  </si>
  <si>
    <t>No mutation required</t>
  </si>
  <si>
    <t>Test Steps</t>
  </si>
  <si>
    <t>Expected Result</t>
  </si>
  <si>
    <t>Actual Result</t>
  </si>
  <si>
    <t>Status</t>
  </si>
  <si>
    <t>Severity</t>
  </si>
  <si>
    <t>Remarks</t>
  </si>
  <si>
    <t>1. Login to EspoCRM
2. Navigate to the accounts module</t>
  </si>
  <si>
    <t>Accounts module should be open successfully and display the Accounts page.</t>
  </si>
  <si>
    <t>Accounts module opened successfully and displayed Accounts page.</t>
  </si>
  <si>
    <t>1.Navigate to Accounts.
2.Observe the Accounts list.</t>
  </si>
  <si>
    <t>The Accounts list should display an appropriate empty-state message or empty list without errors, and the user should still be able to click Create to add an Account.</t>
  </si>
  <si>
    <t>the Account list is empty without any errors, and the user is able to click create to add an Account.</t>
  </si>
  <si>
    <t>Validated using an empty Accounts list during initial testing.</t>
  </si>
  <si>
    <t>1. Navigate to Accounts.
2. Click Create button.</t>
  </si>
  <si>
    <t>Create Account form should open successfully</t>
  </si>
  <si>
    <t>Create Account form opened successfully.</t>
  </si>
  <si>
    <t>1. Navigate to Accounts.
2.Click Create.
3. Observe the Account name field.</t>
  </si>
  <si>
    <t>Account Name field should be displayed on the create Account form</t>
  </si>
  <si>
    <t>Account Name field displayed successfully on the Account form.</t>
  </si>
  <si>
    <t>1. Navigate to Accounts.
2. Click Create.
3. Leave Account Name blank.
4. Click Save.</t>
  </si>
  <si>
    <t>System should prevent account creation and display an appropriate validation message indicating that Account Name is required.</t>
  </si>
  <si>
    <t>System prevented account creation and displayed an appropriate validation message indicating that Account Name is required.</t>
  </si>
  <si>
    <t>1. Navigate to Accounts.
2. Click create.
3. Enter a valid Account Name.
4. Leave all optional fields blank.
5. Click Save.</t>
  </si>
  <si>
    <t>Account should be created successfully with only the Account Name</t>
  </si>
  <si>
    <t>Account created successfully with only the Account Name.</t>
  </si>
  <si>
    <t>1. Navigate to Accounts.
2. Click create.
3. Enter Account Name.
4. Enter valid values in the optional fields.
5. Click Save.</t>
  </si>
  <si>
    <t>Account should be created successfully and entered information should be saved.</t>
  </si>
  <si>
    <t>Account created successfully and entered information saved successfully.</t>
  </si>
  <si>
    <t>1. Navigate to Accounts.
2. Click Create.
3. Enter a valid Account Name.
4. Click Save.</t>
  </si>
  <si>
    <t>Account should be saved successfully and the created account should be available for viewing.</t>
  </si>
  <si>
    <t>Account saved successfully and the created account is available for viewing.</t>
  </si>
  <si>
    <t>1. Navigate to Accounts.
2. Click Create.
3. Enter Account Name.
4. Click Cancel.</t>
  </si>
  <si>
    <t>Account creation should be cancelled and the unsaved account should not be created.</t>
  </si>
  <si>
    <t>Account creation successfully cancelled and unsaved account not created</t>
  </si>
  <si>
    <t>1. Navigate to Accounts.
2. Create an account with a valid Account Name.
3. Save the account.
4. Return to the Accounts list.
5. Search for the newly created account.</t>
  </si>
  <si>
    <t>The newly created account should appear in the Accounts list and should be searchable.</t>
  </si>
  <si>
    <t>The newly created account appeared successfully in the Accounts list and it is searchable</t>
  </si>
  <si>
    <t>1. Navigate to Accounts.
2. Observe the Accounts list.</t>
  </si>
  <si>
    <t>Existing Account records should be displayed correctly in the Accounts list.</t>
  </si>
  <si>
    <t>Existing Accounts records displayed successfully in the Accounts list.</t>
  </si>
  <si>
    <t>1. Navigate to Accounts.
2. Open Test Account 004.
3. Observe the Account detail page.</t>
  </si>
  <si>
    <t>Account detail page should open and display the saved Account information correctly.</t>
  </si>
  <si>
    <t>Account detail page opened successfully and saved Account information was displayed correctly.</t>
  </si>
  <si>
    <t>1. Navigate to Accounts.
2. Open Test Account 004.
3. Click Edit.
4. Modify the Description.
5. Click Save.</t>
  </si>
  <si>
    <t>Account details should be updated successfully without errors.</t>
  </si>
  <si>
    <t>Account details were updated successfully and saved without any errors.</t>
  </si>
  <si>
    <t>1. Open Test Account 004.
2. Verify the updated Description.
3. Refresh or reopen the Account.
4. Verify the Description again.</t>
  </si>
  <si>
    <t>Updated Account information should persist and be displayed correctly after reopening the record.</t>
  </si>
  <si>
    <t>Updated Description was retained and displayed correctly after reopening the Account.</t>
  </si>
  <si>
    <t>1. Navigate to Accounts.
2. Open the test Account.
3. Click Delete.
4. Observe the confirmation message.</t>
  </si>
  <si>
    <t>A confirmation message should be displayed before the Account is deleted.</t>
  </si>
  <si>
    <t>Delete confirmation message appeared successfully.</t>
  </si>
  <si>
    <t>1. Click Delete.
2. Confirm the deletion.
3. Observe the result.</t>
  </si>
  <si>
    <t>Account should be removed successfully after confirmation.</t>
  </si>
  <si>
    <t>Account was removed successfully after confirmation.</t>
  </si>
  <si>
    <t>1. Navigate to Accounts.
2. Search for the deleted Account.</t>
  </si>
  <si>
    <t>The deleted Account should not appear in the search results.</t>
  </si>
  <si>
    <t>No data found when searching for the deleted Account.</t>
  </si>
  <si>
    <t>1. Open Test Account 004.
2. Click Duplicate.
3. Do not change any field.
4. Click Save.
5. Observe the system response.</t>
  </si>
  <si>
    <t>System should warn that the record being created might already exist.</t>
  </si>
  <si>
    <t>System displayed the alert "The record you are creating might already exist" and identified Test Account 004.</t>
  </si>
  <si>
    <t>1. Open Test Account 004.
2. Click Duplicate.
3. Change the Account Name.
4. Click Save.</t>
  </si>
  <si>
    <t>Duplicated Account should be saved successfully after changing the Account data.</t>
  </si>
  <si>
    <t>Duplicated Account was saved successfully after changing the Account data.</t>
  </si>
  <si>
    <t>1. Navigate to Accounts.
2. Open Test Account 004.
3. Open the Personal Data section.
4. Observe the available information.</t>
  </si>
  <si>
    <t>Personal Data section should open successfully and display the available personal data information.</t>
  </si>
  <si>
    <t>Personal Data section opened successfully and Email was displayed as the available personal data.</t>
  </si>
  <si>
    <t>Only Email was available under personal data.</t>
  </si>
  <si>
    <t>1. Navigate to Accounts.
2. Open Test Account 004.
3. Open Followers.
4. Select Admin.
5. Add/confirm the follower.</t>
  </si>
  <si>
    <t>Admin should be successfully added as a follower.</t>
  </si>
  <si>
    <t>Admin was successfully added as a follower of Test Account 004.</t>
  </si>
  <si>
    <t>1. Navigate to Accounts.
2. Select Filters.
3. Select Followed.
4. Observe the Accounts displayed.</t>
  </si>
  <si>
    <t>Accounts followed by the current user should be displayed.</t>
  </si>
  <si>
    <t>Test Account 004 was displayed under the Followed filter after Admin was added as a follower.</t>
  </si>
  <si>
    <t>1. Open Test Account 004.
2. Open Followers.
3. Select the existing Admin follower.
4. Use the Unfollow action.</t>
  </si>
  <si>
    <t>Admin should be successfully removed from the Account's followers.</t>
  </si>
  <si>
    <t>Admin was successfully unfollowed from Test Account 004.</t>
  </si>
  <si>
    <t>1. Navigate to Accounts.
2. Select Filters.
3. Select Followed.
4. Search/observe Test Account 004.</t>
  </si>
  <si>
    <t>Test Account 004 should no longer appear in the Followed filter after the current user unfollows it.</t>
  </si>
  <si>
    <t>No data was displayed after Test Account 004 was unfollowed.</t>
  </si>
  <si>
    <t>1. Open Test Account 004.
2. Open Audit Log.
3. Observe the recorded activities.
4. Verify whether activities that are configured to be audited for the Account.</t>
  </si>
  <si>
    <t>Audit Log should display activities that are configured to be audited for the Account.</t>
  </si>
  <si>
    <t>Audit Log is available and the Account Lock activity is displayed. The Description update is not displayed because auditing is disabled for the Description field. Unlock activity was also not displayed.</t>
  </si>
  <si>
    <t>Description field auditing is disabled. Lock activity was recorded, while Unlock activity was not observed in the Audit Log and requires further investigation.</t>
  </si>
  <si>
    <t>1. Navigate to Accounts.
2. Open Test Account 004.
3. Open User Access.
4. Observe the available access levels.</t>
  </si>
  <si>
    <t>User Access should display the available Read, Edit, Delete, and Stream access levels.</t>
  </si>
  <si>
    <t>User Access displayed Read, Edit, Delete, and Stream access levels. No permission controls were available to modify them from this screen.</t>
  </si>
  <si>
    <t>Access levels are displayed, but no controls are available to modify permissions from the User Access screen.</t>
  </si>
  <si>
    <t>1. Open the Account.
2. Lock the Account.
3. Try to edit the Account.
4. Attempt to change the Description.</t>
  </si>
  <si>
    <t>Locked Account should not allow editing of Account details.</t>
  </si>
  <si>
    <t>Account was locked successfully and editing the Account details was not permitted.</t>
  </si>
  <si>
    <t>Locked Account prevented modification of Account details.</t>
  </si>
  <si>
    <t>1. Open the locked Account.
2. Select Unlock.
3. Observe the Account status.</t>
  </si>
  <si>
    <t>Account should be successfully unlocked.</t>
  </si>
  <si>
    <t>Account was successfully unlocked.</t>
  </si>
  <si>
    <t>1. Click Edit.
2. Change Describtion to: Account unlocked - Edit verification.
3. Click Save.
4. Reopen the Account.</t>
  </si>
  <si>
    <t>Account should be editable after unlocking, and the updated information should be saved successfully.</t>
  </si>
  <si>
    <t>Account was editable after unlocking, and the updated Description was saved successfully.</t>
  </si>
  <si>
    <t>1. Open Test Account 004.
2. Click Edit.
3. Enter the phone number without selecting a country code.
4. Click Save.</t>
  </si>
  <si>
    <t>Phone number should be saved successfully without requiring a country code.</t>
  </si>
  <si>
    <t>Phone number was saved successfully without selecting a country code.</t>
  </si>
  <si>
    <t>1. Open Test Account 004.
2. Click Edit.
3. Enter the phone number with selecting a India country code.
4. Click Save.</t>
  </si>
  <si>
    <t>Phone number should be saved successfully with the India country code.</t>
  </si>
  <si>
    <t>Phone number was saved successfully after selecting India (+91).</t>
  </si>
  <si>
    <t>1. Navigate to Accounts.
2. Open Filters.
3. Select All.
4. Observe the Accounts list.</t>
  </si>
  <si>
    <t>All available Account records should be displayed.</t>
  </si>
  <si>
    <t>All available Account records were displayed successfully.</t>
  </si>
  <si>
    <t>1. Navigate to Accounts.
2. Open Filters.
3. Select Recently Created.
4. Observe the Accounts list.</t>
  </si>
  <si>
    <t>Recently created Account records should be displayed.</t>
  </si>
  <si>
    <t>Recently created Account records were displayed successfully.</t>
  </si>
  <si>
    <t>1. Navigate to Accounts.
2. Open Filters.
3. Select Starred.
4. Observe the Accounts list.</t>
  </si>
  <si>
    <t>Starred Account records should be displayed.</t>
  </si>
  <si>
    <t>Test Account 004 appeared successfully under the Starred filter after it was starred.</t>
  </si>
  <si>
    <t>Test Account 004 was starred before applying the filter.</t>
  </si>
  <si>
    <t>1. Navigate to Accounts.
2. Open Filters.
3. Select Only My.
4. Observe the Accounts list.</t>
  </si>
  <si>
    <t>Accounts assigned to the current user should be displayed.</t>
  </si>
  <si>
    <t>Test Account OnlyMy 001 appeared successfully under the Only My filter because it was assigned to Admin, the current user.</t>
  </si>
  <si>
    <t>Admin was the only available user in the Assigned User list during testing.</t>
  </si>
  <si>
    <t>1. Navigate to Accounts.
2. Open Filters.
3. Select Followed.
4. Observe the Accounts list.</t>
  </si>
  <si>
    <t>Test Account 004 was displayed successfully under the Followed filter when it was followed by Admin.</t>
  </si>
  <si>
    <t>Test Account 004 was followed by Admin before applying the filter.</t>
  </si>
  <si>
    <t>Current automated test classes</t>
  </si>
  <si>
    <t>Test methods</t>
  </si>
  <si>
    <t>Manual test cases</t>
  </si>
  <si>
    <t>LoginTest</t>
  </si>
  <si>
    <t>Automated / directly covered</t>
  </si>
  <si>
    <t>Partially covered</t>
  </si>
  <si>
    <t>Not Started</t>
  </si>
  <si>
    <t>Not started</t>
  </si>
  <si>
    <t>Automation coverage</t>
  </si>
  <si>
    <t>AccountSearchTest</t>
  </si>
  <si>
    <t>Latest regression result</t>
  </si>
  <si>
    <t>PASS — Maven/TestNG Full Regression: 34/34 (0 failed, 0 errors, 0 skipped), 13 minutes 17 seconds</t>
  </si>
  <si>
    <t>Manual cases not yet automated</t>
  </si>
  <si>
    <t>AccountsFollowersTest</t>
  </si>
  <si>
    <t>AccountsFilterTest</t>
  </si>
  <si>
    <t>AccountsAuditLogTest</t>
  </si>
  <si>
    <t>AccountsUserAccessTest</t>
  </si>
  <si>
    <t>AccountsLockTest</t>
  </si>
  <si>
    <t>Total automated test methods</t>
  </si>
  <si>
    <t>—</t>
  </si>
  <si>
    <t>TBD</t>
  </si>
  <si>
    <t>No automation implemented yet</t>
  </si>
  <si>
    <t>Create form is exercised as part of Create flow</t>
  </si>
  <si>
    <t>AccountEditTest / AccountDeleteTest</t>
  </si>
  <si>
    <t>verifyEditAccount / deleteAccountFromDetails</t>
  </si>
  <si>
    <t>Account details page is opened during flows</t>
  </si>
  <si>
    <t>verifyFollowAccount</t>
  </si>
  <si>
    <t>Existing Account + follower state reset</t>
  </si>
  <si>
    <t>Follow/Unfollow state transition covered by the end-to-end test.</t>
  </si>
  <si>
    <t>verifyFollowedFilter</t>
  </si>
  <si>
    <t>Followed filter appearance and removal after unfollow are automated.</t>
  </si>
  <si>
    <t>Unfollowed account disappearance from Followed filter is automated.</t>
  </si>
  <si>
    <t>verifyAccountAuditLog</t>
  </si>
  <si>
    <t>Audit Log dialog and account update entries are verified.</t>
  </si>
  <si>
    <t>verifyAccountUserAccess</t>
  </si>
  <si>
    <t>Read, Edit, Delete and Stream access levels are verified.</t>
  </si>
  <si>
    <t>verifyAccountLockAndUnlock</t>
  </si>
  <si>
    <t>Lock/unlock state transition and menu option restoration are automated.</t>
  </si>
  <si>
    <t>verifyPhoneField</t>
  </si>
  <si>
    <t>Phone value can be entered and saved without country code.</t>
  </si>
  <si>
    <t>verifyAllFilter</t>
  </si>
  <si>
    <t>All filter is explicitly exercised and verified.</t>
  </si>
  <si>
    <t>verifyRecentlyCreatedFilter</t>
  </si>
  <si>
    <t>Recently Created filter is explicitly exercised.</t>
  </si>
  <si>
    <t>verifyStarredFilter</t>
  </si>
  <si>
    <t>Existing Account + star state reset</t>
  </si>
  <si>
    <t>Starred filter appearance and removal after unstar are automated.</t>
  </si>
  <si>
    <t>verifyOnlyMyFilter</t>
  </si>
  <si>
    <t>Existing Account assigned to Admin</t>
  </si>
  <si>
    <t>Only My filter is explicitly exercised and verified.</t>
  </si>
  <si>
    <t>Followed filter is explicitly exercised in the follower workflow.</t>
  </si>
  <si>
    <t>Automation Suite</t>
  </si>
  <si>
    <t>Maven/TestNG Full Regression</t>
  </si>
  <si>
    <t>Verified full regression: 20 tests executed, 20 passed, 0 failed, 0 errors, 0 skipped.</t>
  </si>
  <si>
    <t>Verified full regression: 34 tests executed, 34 passed, 0 failed, 0 errors, 0 skipped. Execution time: 13m 17s.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</si>
</sst>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dd\-mmm\-yyyy"/>
  </numFmts>
  <fonts count="3">
    <font>
      <sz val="11"/>
      <name val="Carlito"/>
    </font>
    <font>
      <b/>
      <sz val="16"/>
      <color rgb="FFFFFFFF"/>
      <name val="Carlito"/>
    </font>
    <font>
      <b/>
      <sz val="11"/>
      <color rgb="FF17365D"/>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0" borderId="0" xfId="0" applyNumberFormat="1"/>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3" borderId="2" xfId="0" applyFont="1" applyFill="1" applyBorder="1" applyAlignment="1">
      <alignment horizontal="center" vertical="center" wrapText="1"/>
    </xf>
    <xf numFmtId="166" fontId="0" fillId="0" borderId="1" xfId="0" applyNumberFormat="1" applyBorder="1" applyAlignment="1">
      <alignment horizontal="center" vertical="center" wrapText="1"/>
    </xf>
    <xf numFmtId="166" fontId="0" fillId="0" borderId="1" xfId="0" applyNumberFormat="1" applyBorder="1" applyAlignment="1">
      <alignment horizontal="center" vertical="center"/>
    </xf>
    <xf numFmtId="166" fontId="0" fillId="0" borderId="0" xfId="0" applyNumberFormat="1"/>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wrapText="1"/>
    </xf>
    <xf numFmtId="165" fontId="0" fillId="0" borderId="1" xfId="0" applyNumberFormat="1" applyBorder="1" applyAlignment="1">
      <alignment vertical="center" wrapText="1"/>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wrapText="1"/>
    </xf>
    <xf numFmtId="0" fontId="0" fillId="0" borderId="2" xfId="0" applyBorder="1" applyAlignment="1">
      <alignment vertical="center"/>
    </xf>
  </cellXfs>
  <cellStyles count="1">
    <cellStyle name="Normal" xfId="0" builtinId="0"/>
  </cellStyles>
  <dxfs count="3">
    <dxf>
      <fill>
        <patternFill>
          <bgColor rgb="FFFCE4D6"/>
        </patternFill>
      </fill>
    </dxf>
    <dxf>
      <fill>
        <patternFill>
          <bgColor rgb="FFFFF2CC"/>
        </patternFill>
      </fill>
    </dxf>
    <dxf>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IN"/>
              <a:t>Accounts Automation Status</a:t>
            </a:r>
          </a:p>
        </c:rich>
      </c:tx>
      <c:overlay val="1"/>
    </c:title>
    <c:autoTitleDeleted val="0"/>
    <c:plotArea>
      <c:layout/>
      <c:barChart>
        <c:barDir val="col"/>
        <c:grouping val="clustered"/>
        <c:varyColors val="0"/>
        <c:ser>
          <c:idx val="0"/>
          <c:order val="0"/>
          <c:tx>
            <c:v>Count</c:v>
          </c:tx>
          <c:spPr>
            <a:ln>
              <a:prstDash val="solid"/>
            </a:ln>
          </c:spPr>
          <c:invertIfNegative val="1"/>
          <c:cat>
            <c:strRef>
              <c:f>Dashboard!$G$4:$G$6</c:f>
              <c:strCache>
                <c:ptCount val="3"/>
                <c:pt idx="0">
                  <c:v>Automated</c:v>
                </c:pt>
                <c:pt idx="1">
                  <c:v>Partially covered</c:v>
                </c:pt>
                <c:pt idx="2">
                  <c:v>Not Started</c:v>
                </c:pt>
              </c:strCache>
            </c:strRef>
          </c:cat>
          <c:val>
            <c:numRef>
              <c:f>Dashboard!$H$4:$H$6</c:f>
              <c:numCache>
                <c:formatCode>General</c:formatCode>
                <c:ptCount val="3"/>
                <c:pt idx="0">
                  <c:v>29</c:v>
                </c:pt>
                <c:pt idx="1">
                  <c:v>2</c:v>
                </c:pt>
                <c:pt idx="2">
                  <c:v>5</c:v>
                </c:pt>
              </c:numCache>
            </c:numRef>
          </c:val>
          <c:extLst>
            <c:ext xmlns:c16="http://schemas.microsoft.com/office/drawing/2014/chart" uri="{C3380CC4-5D6E-409C-BE32-E72D297353CC}">
              <c16:uniqueId val="{00000000-A372-48B9-84C3-A352BE6BDEB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182880</xdr:colOff>
      <xdr:row>8</xdr:row>
      <xdr:rowOff>0</xdr:rowOff>
    </xdr:from>
    <xdr:to>
      <xdr:col>13</xdr:col>
      <xdr:colOff>182880</xdr:colOff>
      <xdr:row>23</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A12" sqref="A12:B12"/>
    </sheetView>
  </sheetViews>
  <sheetFormatPr defaultRowHeight="13.8"/>
  <cols>
    <col min="1" max="1" width="30" customWidth="1"/>
    <col min="2" max="2" width="52" customWidth="1"/>
    <col min="4" max="4" width="26" customWidth="1"/>
    <col min="5" max="5" width="14" customWidth="1"/>
    <col min="7" max="8" width="20" customWidth="1"/>
  </cols>
  <sheetData>
    <row r="1" spans="1:8" ht="17.850000000000001" customHeight="1">
      <c r="A1" s="13" t="s">
        <v>0</v>
      </c>
      <c r="B1" s="14"/>
      <c r="C1" s="14"/>
      <c r="D1" s="14"/>
      <c r="E1" s="14"/>
      <c r="F1" s="14"/>
      <c r="G1" s="14"/>
      <c r="H1" s="14"/>
    </row>
    <row r="2" spans="1:8">
      <c r="A2" s="9"/>
      <c r="B2" s="9"/>
      <c r="C2" s="9"/>
      <c r="D2" s="9"/>
      <c r="E2" s="9"/>
      <c r="F2" s="9"/>
      <c r="G2" s="9"/>
      <c r="H2" s="9"/>
    </row>
    <row r="3" spans="1:8" ht="22.05" customHeight="1">
      <c r="A3" s="2" t="s">
        <v>1</v>
      </c>
      <c r="B3" s="2" t="s">
        <v>2</v>
      </c>
      <c r="C3" s="10"/>
      <c r="D3" s="5" t="s">
        <v>351</v>
      </c>
      <c r="E3" s="5" t="s">
        <v>352</v>
      </c>
      <c r="F3" s="10"/>
      <c r="G3" s="2" t="s">
        <v>3</v>
      </c>
      <c r="H3" s="2" t="s">
        <v>4</v>
      </c>
    </row>
    <row r="4" spans="1:8">
      <c r="A4" s="11" t="s">
        <v>353</v>
      </c>
      <c r="B4" s="11">
        <v>36</v>
      </c>
      <c r="C4" s="10"/>
      <c r="D4" s="15" t="s">
        <v>354</v>
      </c>
      <c r="E4" s="15">
        <v>1</v>
      </c>
      <c r="F4" s="10"/>
      <c r="G4" s="11" t="s">
        <v>27</v>
      </c>
      <c r="H4" s="11">
        <f>B5</f>
        <v>29</v>
      </c>
    </row>
    <row r="5" spans="1:8">
      <c r="A5" s="11" t="s">
        <v>355</v>
      </c>
      <c r="B5" s="11">
        <f>COUNTIF('Automation Tracker'!$J$2:$J$37,"Automated")</f>
        <v>29</v>
      </c>
      <c r="C5" s="10"/>
      <c r="D5" s="15" t="s">
        <v>28</v>
      </c>
      <c r="E5" s="15">
        <v>2</v>
      </c>
      <c r="F5" s="10"/>
      <c r="G5" s="11" t="s">
        <v>356</v>
      </c>
      <c r="H5" s="11">
        <f>B6</f>
        <v>2</v>
      </c>
    </row>
    <row r="6" spans="1:8">
      <c r="A6" s="11" t="s">
        <v>356</v>
      </c>
      <c r="B6" s="11">
        <f>COUNTIF('Automation Tracker'!$J$2:$J$37,"Partially covered")</f>
        <v>2</v>
      </c>
      <c r="C6" s="10"/>
      <c r="D6" s="15" t="s">
        <v>49</v>
      </c>
      <c r="E6" s="15">
        <v>11</v>
      </c>
      <c r="F6" s="10"/>
      <c r="G6" s="11" t="s">
        <v>357</v>
      </c>
      <c r="H6" s="11">
        <f>B7</f>
        <v>5</v>
      </c>
    </row>
    <row r="7" spans="1:8">
      <c r="A7" s="11" t="s">
        <v>358</v>
      </c>
      <c r="B7" s="11">
        <f>COUNTIF('Automation Tracker'!$J$2:$J$37,"Not Started")</f>
        <v>5</v>
      </c>
      <c r="C7" s="10"/>
      <c r="D7" s="15" t="s">
        <v>97</v>
      </c>
      <c r="E7" s="15">
        <v>1</v>
      </c>
      <c r="F7" s="10"/>
      <c r="G7" s="10"/>
      <c r="H7" s="10"/>
    </row>
    <row r="8" spans="1:8">
      <c r="A8" s="11" t="s">
        <v>359</v>
      </c>
      <c r="B8" s="12">
        <f>B5/B4</f>
        <v>0.80555555555555558</v>
      </c>
      <c r="C8" s="10"/>
      <c r="D8" s="15" t="s">
        <v>360</v>
      </c>
      <c r="E8" s="15">
        <v>1</v>
      </c>
      <c r="F8" s="10"/>
      <c r="G8" s="10"/>
      <c r="H8" s="10"/>
    </row>
    <row r="9" spans="1:8" ht="44.1" customHeight="1">
      <c r="A9" s="11" t="s">
        <v>361</v>
      </c>
      <c r="B9" s="11" t="s">
        <v>362</v>
      </c>
      <c r="C9" s="10"/>
      <c r="D9" s="15" t="s">
        <v>108</v>
      </c>
      <c r="E9" s="15">
        <v>3</v>
      </c>
      <c r="F9" s="10"/>
      <c r="G9" s="10"/>
      <c r="H9" s="10"/>
    </row>
    <row r="10" spans="1:8">
      <c r="A10" s="10"/>
      <c r="B10" s="10"/>
      <c r="C10" s="10"/>
      <c r="D10" s="15" t="s">
        <v>123</v>
      </c>
      <c r="E10" s="15">
        <v>2</v>
      </c>
      <c r="F10" s="10"/>
      <c r="G10" s="10"/>
      <c r="H10" s="10"/>
    </row>
    <row r="11" spans="1:8">
      <c r="A11" s="9"/>
      <c r="B11" s="9"/>
      <c r="C11" s="9"/>
      <c r="D11" s="15" t="s">
        <v>136</v>
      </c>
      <c r="E11" s="15">
        <v>1</v>
      </c>
      <c r="F11" s="9"/>
      <c r="G11" s="9"/>
      <c r="H11" s="9"/>
    </row>
    <row r="12" spans="1:8">
      <c r="A12" s="16" t="s">
        <v>363</v>
      </c>
      <c r="B12" s="16">
        <f>B7</f>
        <v>5</v>
      </c>
      <c r="C12" s="9"/>
      <c r="D12" s="15" t="s">
        <v>364</v>
      </c>
      <c r="E12" s="15">
        <v>1</v>
      </c>
      <c r="F12" s="9"/>
      <c r="G12" s="9"/>
      <c r="H12" s="9"/>
    </row>
    <row r="13" spans="1:8">
      <c r="A13" s="9"/>
      <c r="B13" s="9"/>
      <c r="C13" s="9"/>
      <c r="D13" s="15" t="s">
        <v>365</v>
      </c>
      <c r="E13" s="15">
        <v>5</v>
      </c>
      <c r="F13" s="9"/>
      <c r="G13" s="9"/>
      <c r="H13" s="9"/>
    </row>
    <row r="14" spans="1:8">
      <c r="A14" s="9"/>
      <c r="B14" s="9"/>
      <c r="C14" s="9"/>
      <c r="D14" s="15" t="s">
        <v>366</v>
      </c>
      <c r="E14" s="15">
        <v>1</v>
      </c>
      <c r="F14" s="9"/>
      <c r="G14" s="9"/>
      <c r="H14" s="9"/>
    </row>
    <row r="15" spans="1:8">
      <c r="A15" s="9"/>
      <c r="B15" s="9"/>
      <c r="C15" s="9"/>
      <c r="D15" s="15" t="s">
        <v>367</v>
      </c>
      <c r="E15" s="15">
        <v>1</v>
      </c>
      <c r="F15" s="9"/>
      <c r="G15" s="9"/>
      <c r="H15" s="9"/>
    </row>
    <row r="16" spans="1:8">
      <c r="A16" s="9"/>
      <c r="B16" s="9"/>
      <c r="C16" s="9"/>
      <c r="D16" s="15" t="s">
        <v>368</v>
      </c>
      <c r="E16" s="15">
        <v>1</v>
      </c>
      <c r="F16" s="9"/>
      <c r="G16" s="9"/>
      <c r="H16" s="9"/>
    </row>
    <row r="17" spans="1:8">
      <c r="A17" s="9"/>
      <c r="B17" s="9"/>
      <c r="C17" s="9"/>
      <c r="D17" s="15" t="s">
        <v>369</v>
      </c>
      <c r="E17" s="15">
        <f>SUM(E4:E16)</f>
        <v>31</v>
      </c>
      <c r="F17" s="9"/>
      <c r="G17" s="9"/>
      <c r="H17" s="9"/>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
  <sheetViews>
    <sheetView tabSelected="1" workbookViewId="0">
      <selection activeCell="E6" sqref="A1:N37"/>
    </sheetView>
  </sheetViews>
  <sheetFormatPr defaultRowHeight="13.8"/>
  <cols>
    <col min="1" max="1" width="11.8984375" bestFit="1" customWidth="1"/>
    <col min="2" max="2" width="12.296875" bestFit="1" customWidth="1"/>
    <col min="3" max="3" width="11.19921875" bestFit="1" customWidth="1"/>
    <col min="4" max="4" width="8.19921875" bestFit="1" customWidth="1"/>
    <col min="5" max="5" width="42" customWidth="1"/>
    <col min="6" max="6" width="33.8984375" bestFit="1" customWidth="1"/>
    <col min="7" max="7" width="23.59765625" bestFit="1" customWidth="1"/>
    <col min="8" max="8" width="7.296875" bestFit="1" customWidth="1"/>
    <col min="9" max="9" width="7.09765625" bestFit="1" customWidth="1"/>
    <col min="10" max="10" width="17.19921875" bestFit="1" customWidth="1"/>
    <col min="11" max="11" width="23" bestFit="1" customWidth="1"/>
    <col min="12" max="12" width="31.796875" bestFit="1" customWidth="1"/>
    <col min="13" max="13" width="29.59765625" bestFit="1" customWidth="1"/>
    <col min="14" max="14" width="39.69921875" bestFit="1" customWidth="1"/>
  </cols>
  <sheetData>
    <row r="1" spans="1:14" ht="27.6">
      <c r="A1" s="2" t="s">
        <v>5</v>
      </c>
      <c r="B1" s="2" t="s">
        <v>6</v>
      </c>
      <c r="C1" s="2" t="s">
        <v>7</v>
      </c>
      <c r="D1" s="2" t="s">
        <v>8</v>
      </c>
      <c r="E1" s="2" t="s">
        <v>9</v>
      </c>
      <c r="F1" s="2" t="s">
        <v>10</v>
      </c>
      <c r="G1" s="2" t="s">
        <v>11</v>
      </c>
      <c r="H1" s="2" t="s">
        <v>12</v>
      </c>
      <c r="I1" s="2" t="s">
        <v>13</v>
      </c>
      <c r="J1" s="2" t="s">
        <v>3</v>
      </c>
      <c r="K1" s="2" t="s">
        <v>14</v>
      </c>
      <c r="L1" s="2" t="s">
        <v>15</v>
      </c>
      <c r="M1" s="2" t="s">
        <v>16</v>
      </c>
      <c r="N1" s="2" t="s">
        <v>17</v>
      </c>
    </row>
    <row r="2" spans="1:14" ht="27.6">
      <c r="A2" s="3" t="s">
        <v>18</v>
      </c>
      <c r="B2" s="3" t="s">
        <v>19</v>
      </c>
      <c r="C2" s="3" t="s">
        <v>20</v>
      </c>
      <c r="D2" s="3" t="s">
        <v>21</v>
      </c>
      <c r="E2" s="3" t="s">
        <v>22</v>
      </c>
      <c r="F2" s="3" t="s">
        <v>23</v>
      </c>
      <c r="G2" s="3" t="s">
        <v>24</v>
      </c>
      <c r="H2" s="3" t="s">
        <v>25</v>
      </c>
      <c r="I2" s="3" t="s">
        <v>26</v>
      </c>
      <c r="J2" s="3" t="s">
        <v>27</v>
      </c>
      <c r="K2" s="3" t="s">
        <v>28</v>
      </c>
      <c r="L2" s="3" t="s">
        <v>29</v>
      </c>
      <c r="M2" s="3" t="s">
        <v>30</v>
      </c>
      <c r="N2" s="3" t="s">
        <v>31</v>
      </c>
    </row>
    <row r="3" spans="1:14" ht="27.6">
      <c r="A3" s="3" t="s">
        <v>32</v>
      </c>
      <c r="B3" s="3" t="s">
        <v>33</v>
      </c>
      <c r="C3" s="3" t="s">
        <v>34</v>
      </c>
      <c r="D3" s="3" t="s">
        <v>21</v>
      </c>
      <c r="E3" s="3" t="s">
        <v>35</v>
      </c>
      <c r="F3" s="3" t="s">
        <v>36</v>
      </c>
      <c r="G3" s="3" t="s">
        <v>24</v>
      </c>
      <c r="H3" s="3" t="s">
        <v>25</v>
      </c>
      <c r="I3" s="3" t="s">
        <v>26</v>
      </c>
      <c r="J3" s="3" t="s">
        <v>357</v>
      </c>
      <c r="K3" s="3" t="s">
        <v>370</v>
      </c>
      <c r="L3" s="3" t="s">
        <v>370</v>
      </c>
      <c r="M3" s="3" t="s">
        <v>371</v>
      </c>
      <c r="N3" s="3" t="s">
        <v>372</v>
      </c>
    </row>
    <row r="4" spans="1:14" ht="27.6">
      <c r="A4" s="3" t="s">
        <v>37</v>
      </c>
      <c r="B4" s="3" t="s">
        <v>38</v>
      </c>
      <c r="C4" s="3" t="s">
        <v>39</v>
      </c>
      <c r="D4" s="3" t="s">
        <v>21</v>
      </c>
      <c r="E4" s="3" t="s">
        <v>40</v>
      </c>
      <c r="F4" s="3" t="s">
        <v>23</v>
      </c>
      <c r="G4" s="3" t="s">
        <v>24</v>
      </c>
      <c r="H4" s="3" t="s">
        <v>25</v>
      </c>
      <c r="I4" s="3" t="s">
        <v>26</v>
      </c>
      <c r="J4" s="3" t="s">
        <v>356</v>
      </c>
      <c r="K4" s="3" t="s">
        <v>49</v>
      </c>
      <c r="L4" s="3" t="s">
        <v>55</v>
      </c>
      <c r="M4" s="3" t="s">
        <v>114</v>
      </c>
      <c r="N4" s="3" t="s">
        <v>373</v>
      </c>
    </row>
    <row r="5" spans="1:14" ht="27.6">
      <c r="A5" s="3" t="s">
        <v>41</v>
      </c>
      <c r="B5" s="3" t="s">
        <v>42</v>
      </c>
      <c r="C5" s="3" t="s">
        <v>43</v>
      </c>
      <c r="D5" s="3" t="s">
        <v>21</v>
      </c>
      <c r="E5" s="3" t="s">
        <v>44</v>
      </c>
      <c r="F5" s="3" t="s">
        <v>23</v>
      </c>
      <c r="G5" s="3" t="s">
        <v>24</v>
      </c>
      <c r="H5" s="3" t="s">
        <v>25</v>
      </c>
      <c r="I5" s="3" t="s">
        <v>26</v>
      </c>
      <c r="J5" s="3" t="s">
        <v>357</v>
      </c>
      <c r="K5" s="3" t="s">
        <v>370</v>
      </c>
      <c r="L5" s="3" t="s">
        <v>370</v>
      </c>
      <c r="M5" s="3" t="s">
        <v>371</v>
      </c>
      <c r="N5" s="3" t="s">
        <v>372</v>
      </c>
    </row>
    <row r="6" spans="1:14" ht="27.6">
      <c r="A6" s="3" t="s">
        <v>45</v>
      </c>
      <c r="B6" s="3" t="s">
        <v>42</v>
      </c>
      <c r="C6" s="3" t="s">
        <v>43</v>
      </c>
      <c r="D6" s="3" t="s">
        <v>21</v>
      </c>
      <c r="E6" s="3" t="s">
        <v>46</v>
      </c>
      <c r="F6" s="3" t="s">
        <v>23</v>
      </c>
      <c r="G6" s="3" t="s">
        <v>47</v>
      </c>
      <c r="H6" s="3" t="s">
        <v>48</v>
      </c>
      <c r="I6" s="3" t="s">
        <v>26</v>
      </c>
      <c r="J6" s="3" t="s">
        <v>27</v>
      </c>
      <c r="K6" s="3" t="s">
        <v>49</v>
      </c>
      <c r="L6" s="3" t="s">
        <v>50</v>
      </c>
      <c r="M6" s="3" t="s">
        <v>24</v>
      </c>
      <c r="N6" s="3" t="s">
        <v>51</v>
      </c>
    </row>
    <row r="7" spans="1:14" ht="41.4">
      <c r="A7" s="3" t="s">
        <v>52</v>
      </c>
      <c r="B7" s="3" t="s">
        <v>38</v>
      </c>
      <c r="C7" s="3" t="s">
        <v>39</v>
      </c>
      <c r="D7" s="3" t="s">
        <v>21</v>
      </c>
      <c r="E7" s="3" t="s">
        <v>53</v>
      </c>
      <c r="F7" s="3" t="s">
        <v>23</v>
      </c>
      <c r="G7" s="3" t="s">
        <v>54</v>
      </c>
      <c r="H7" s="3" t="s">
        <v>48</v>
      </c>
      <c r="I7" s="3" t="s">
        <v>26</v>
      </c>
      <c r="J7" s="3" t="s">
        <v>27</v>
      </c>
      <c r="K7" s="3" t="s">
        <v>49</v>
      </c>
      <c r="L7" s="3" t="s">
        <v>55</v>
      </c>
      <c r="M7" s="3" t="s">
        <v>56</v>
      </c>
      <c r="N7" s="3" t="s">
        <v>57</v>
      </c>
    </row>
    <row r="8" spans="1:14" ht="110.4">
      <c r="A8" s="3" t="s">
        <v>58</v>
      </c>
      <c r="B8" s="3" t="s">
        <v>38</v>
      </c>
      <c r="C8" s="3" t="s">
        <v>39</v>
      </c>
      <c r="D8" s="3" t="s">
        <v>21</v>
      </c>
      <c r="E8" s="3" t="s">
        <v>59</v>
      </c>
      <c r="F8" s="3" t="s">
        <v>23</v>
      </c>
      <c r="G8" s="3" t="s">
        <v>60</v>
      </c>
      <c r="H8" s="3" t="s">
        <v>25</v>
      </c>
      <c r="I8" s="3" t="s">
        <v>26</v>
      </c>
      <c r="J8" s="3" t="s">
        <v>27</v>
      </c>
      <c r="K8" s="3" t="s">
        <v>49</v>
      </c>
      <c r="L8" s="3" t="s">
        <v>61</v>
      </c>
      <c r="M8" s="3" t="s">
        <v>62</v>
      </c>
      <c r="N8" s="3" t="s">
        <v>63</v>
      </c>
    </row>
    <row r="9" spans="1:14" ht="27.6">
      <c r="A9" s="3" t="s">
        <v>64</v>
      </c>
      <c r="B9" s="3" t="s">
        <v>65</v>
      </c>
      <c r="C9" s="3" t="s">
        <v>66</v>
      </c>
      <c r="D9" s="3" t="s">
        <v>21</v>
      </c>
      <c r="E9" s="3" t="s">
        <v>67</v>
      </c>
      <c r="F9" s="3" t="s">
        <v>23</v>
      </c>
      <c r="G9" s="3" t="s">
        <v>68</v>
      </c>
      <c r="H9" s="3" t="s">
        <v>48</v>
      </c>
      <c r="I9" s="3" t="s">
        <v>26</v>
      </c>
      <c r="J9" s="3" t="s">
        <v>27</v>
      </c>
      <c r="K9" s="3" t="s">
        <v>49</v>
      </c>
      <c r="L9" s="3" t="s">
        <v>55</v>
      </c>
      <c r="M9" s="3" t="s">
        <v>56</v>
      </c>
      <c r="N9" s="3" t="s">
        <v>69</v>
      </c>
    </row>
    <row r="10" spans="1:14" ht="27.6">
      <c r="A10" s="3" t="s">
        <v>70</v>
      </c>
      <c r="B10" s="3" t="s">
        <v>71</v>
      </c>
      <c r="C10" s="3" t="s">
        <v>72</v>
      </c>
      <c r="D10" s="3" t="s">
        <v>21</v>
      </c>
      <c r="E10" s="3" t="s">
        <v>73</v>
      </c>
      <c r="F10" s="3" t="s">
        <v>23</v>
      </c>
      <c r="G10" s="3" t="s">
        <v>24</v>
      </c>
      <c r="H10" s="3" t="s">
        <v>25</v>
      </c>
      <c r="I10" s="3" t="s">
        <v>26</v>
      </c>
      <c r="J10" s="3" t="s">
        <v>27</v>
      </c>
      <c r="K10" s="3" t="s">
        <v>49</v>
      </c>
      <c r="L10" s="3" t="s">
        <v>74</v>
      </c>
      <c r="M10" s="3" t="s">
        <v>24</v>
      </c>
      <c r="N10" s="3" t="s">
        <v>75</v>
      </c>
    </row>
    <row r="11" spans="1:14" ht="27.6">
      <c r="A11" s="3" t="s">
        <v>76</v>
      </c>
      <c r="B11" s="3" t="s">
        <v>33</v>
      </c>
      <c r="C11" s="3" t="s">
        <v>34</v>
      </c>
      <c r="D11" s="3" t="s">
        <v>21</v>
      </c>
      <c r="E11" s="3" t="s">
        <v>77</v>
      </c>
      <c r="F11" s="3" t="s">
        <v>23</v>
      </c>
      <c r="G11" s="3" t="s">
        <v>78</v>
      </c>
      <c r="H11" s="3" t="s">
        <v>48</v>
      </c>
      <c r="I11" s="3" t="s">
        <v>26</v>
      </c>
      <c r="J11" s="3" t="s">
        <v>27</v>
      </c>
      <c r="K11" s="3" t="s">
        <v>49</v>
      </c>
      <c r="L11" s="3" t="s">
        <v>79</v>
      </c>
      <c r="M11" s="3" t="s">
        <v>56</v>
      </c>
      <c r="N11" s="3" t="s">
        <v>80</v>
      </c>
    </row>
    <row r="12" spans="1:14" ht="41.4">
      <c r="A12" s="3" t="s">
        <v>81</v>
      </c>
      <c r="B12" s="3" t="s">
        <v>33</v>
      </c>
      <c r="C12" s="3" t="s">
        <v>34</v>
      </c>
      <c r="D12" s="3" t="s">
        <v>21</v>
      </c>
      <c r="E12" s="3" t="s">
        <v>82</v>
      </c>
      <c r="F12" s="3" t="s">
        <v>83</v>
      </c>
      <c r="G12" s="3" t="s">
        <v>84</v>
      </c>
      <c r="H12" s="3" t="s">
        <v>25</v>
      </c>
      <c r="I12" s="3" t="s">
        <v>26</v>
      </c>
      <c r="J12" s="3" t="s">
        <v>27</v>
      </c>
      <c r="K12" s="3" t="s">
        <v>28</v>
      </c>
      <c r="L12" s="3" t="s">
        <v>85</v>
      </c>
      <c r="M12" s="3" t="s">
        <v>30</v>
      </c>
      <c r="N12" s="3" t="s">
        <v>86</v>
      </c>
    </row>
    <row r="13" spans="1:14" ht="41.4">
      <c r="A13" s="3" t="s">
        <v>87</v>
      </c>
      <c r="B13" s="3" t="s">
        <v>88</v>
      </c>
      <c r="C13" s="3" t="s">
        <v>89</v>
      </c>
      <c r="D13" s="3" t="s">
        <v>21</v>
      </c>
      <c r="E13" s="3" t="s">
        <v>90</v>
      </c>
      <c r="F13" s="3" t="s">
        <v>91</v>
      </c>
      <c r="G13" s="3" t="s">
        <v>78</v>
      </c>
      <c r="H13" s="3" t="s">
        <v>25</v>
      </c>
      <c r="I13" s="3" t="s">
        <v>26</v>
      </c>
      <c r="J13" s="3" t="s">
        <v>356</v>
      </c>
      <c r="K13" s="3" t="s">
        <v>374</v>
      </c>
      <c r="L13" s="3" t="s">
        <v>375</v>
      </c>
      <c r="M13" s="3" t="s">
        <v>114</v>
      </c>
      <c r="N13" s="3" t="s">
        <v>376</v>
      </c>
    </row>
    <row r="14" spans="1:14" ht="41.4">
      <c r="A14" s="3" t="s">
        <v>92</v>
      </c>
      <c r="B14" s="3" t="s">
        <v>93</v>
      </c>
      <c r="C14" s="3" t="s">
        <v>94</v>
      </c>
      <c r="D14" s="3" t="s">
        <v>21</v>
      </c>
      <c r="E14" s="3" t="s">
        <v>95</v>
      </c>
      <c r="F14" s="3" t="s">
        <v>91</v>
      </c>
      <c r="G14" s="3" t="s">
        <v>96</v>
      </c>
      <c r="H14" s="3" t="s">
        <v>48</v>
      </c>
      <c r="I14" s="3" t="s">
        <v>26</v>
      </c>
      <c r="J14" s="3" t="s">
        <v>27</v>
      </c>
      <c r="K14" s="3" t="s">
        <v>97</v>
      </c>
      <c r="L14" s="3" t="s">
        <v>98</v>
      </c>
      <c r="M14" s="3" t="s">
        <v>56</v>
      </c>
      <c r="N14" s="3" t="s">
        <v>99</v>
      </c>
    </row>
    <row r="15" spans="1:14" ht="41.4">
      <c r="A15" s="3" t="s">
        <v>100</v>
      </c>
      <c r="B15" s="3" t="s">
        <v>93</v>
      </c>
      <c r="C15" s="3" t="s">
        <v>94</v>
      </c>
      <c r="D15" s="3" t="s">
        <v>21</v>
      </c>
      <c r="E15" s="3" t="s">
        <v>101</v>
      </c>
      <c r="F15" s="3" t="s">
        <v>91</v>
      </c>
      <c r="G15" s="3" t="s">
        <v>78</v>
      </c>
      <c r="H15" s="3" t="s">
        <v>48</v>
      </c>
      <c r="I15" s="3" t="s">
        <v>26</v>
      </c>
      <c r="J15" s="3" t="s">
        <v>27</v>
      </c>
      <c r="K15" s="3" t="s">
        <v>97</v>
      </c>
      <c r="L15" s="3" t="s">
        <v>98</v>
      </c>
      <c r="M15" s="3" t="s">
        <v>56</v>
      </c>
      <c r="N15" s="3" t="s">
        <v>102</v>
      </c>
    </row>
    <row r="16" spans="1:14" ht="41.4">
      <c r="A16" s="3" t="s">
        <v>103</v>
      </c>
      <c r="B16" s="3" t="s">
        <v>104</v>
      </c>
      <c r="C16" s="3" t="s">
        <v>105</v>
      </c>
      <c r="D16" s="3" t="s">
        <v>21</v>
      </c>
      <c r="E16" s="3" t="s">
        <v>106</v>
      </c>
      <c r="F16" s="3" t="s">
        <v>91</v>
      </c>
      <c r="G16" s="3" t="s">
        <v>107</v>
      </c>
      <c r="H16" s="3" t="s">
        <v>48</v>
      </c>
      <c r="I16" s="3" t="s">
        <v>26</v>
      </c>
      <c r="J16" s="3" t="s">
        <v>27</v>
      </c>
      <c r="K16" s="3" t="s">
        <v>108</v>
      </c>
      <c r="L16" s="3" t="s">
        <v>109</v>
      </c>
      <c r="M16" s="3" t="s">
        <v>30</v>
      </c>
      <c r="N16" s="3" t="s">
        <v>110</v>
      </c>
    </row>
    <row r="17" spans="1:14" ht="41.4">
      <c r="A17" s="3" t="s">
        <v>111</v>
      </c>
      <c r="B17" s="3" t="s">
        <v>104</v>
      </c>
      <c r="C17" s="3" t="s">
        <v>105</v>
      </c>
      <c r="D17" s="3" t="s">
        <v>21</v>
      </c>
      <c r="E17" s="3" t="s">
        <v>112</v>
      </c>
      <c r="F17" s="3" t="s">
        <v>91</v>
      </c>
      <c r="G17" s="3" t="s">
        <v>107</v>
      </c>
      <c r="H17" s="3" t="s">
        <v>48</v>
      </c>
      <c r="I17" s="3" t="s">
        <v>26</v>
      </c>
      <c r="J17" s="3" t="s">
        <v>27</v>
      </c>
      <c r="K17" s="3" t="s">
        <v>108</v>
      </c>
      <c r="L17" s="3" t="s">
        <v>113</v>
      </c>
      <c r="M17" s="3" t="s">
        <v>114</v>
      </c>
      <c r="N17" s="3" t="s">
        <v>115</v>
      </c>
    </row>
    <row r="18" spans="1:14" ht="41.4">
      <c r="A18" s="3" t="s">
        <v>116</v>
      </c>
      <c r="B18" s="3" t="s">
        <v>104</v>
      </c>
      <c r="C18" s="3" t="s">
        <v>105</v>
      </c>
      <c r="D18" s="3" t="s">
        <v>21</v>
      </c>
      <c r="E18" s="3" t="s">
        <v>117</v>
      </c>
      <c r="F18" s="3" t="s">
        <v>91</v>
      </c>
      <c r="G18" s="3" t="s">
        <v>107</v>
      </c>
      <c r="H18" s="3" t="s">
        <v>48</v>
      </c>
      <c r="I18" s="3" t="s">
        <v>26</v>
      </c>
      <c r="J18" s="3" t="s">
        <v>27</v>
      </c>
      <c r="K18" s="3" t="s">
        <v>108</v>
      </c>
      <c r="L18" s="3" t="s">
        <v>113</v>
      </c>
      <c r="M18" s="3" t="s">
        <v>114</v>
      </c>
      <c r="N18" s="3" t="s">
        <v>118</v>
      </c>
    </row>
    <row r="19" spans="1:14" ht="41.4">
      <c r="A19" s="3" t="s">
        <v>119</v>
      </c>
      <c r="B19" s="3" t="s">
        <v>120</v>
      </c>
      <c r="C19" s="3" t="s">
        <v>121</v>
      </c>
      <c r="D19" s="3" t="s">
        <v>21</v>
      </c>
      <c r="E19" s="3" t="s">
        <v>122</v>
      </c>
      <c r="F19" s="3" t="s">
        <v>91</v>
      </c>
      <c r="G19" s="3" t="s">
        <v>78</v>
      </c>
      <c r="H19" s="3" t="s">
        <v>48</v>
      </c>
      <c r="I19" s="3" t="s">
        <v>26</v>
      </c>
      <c r="J19" s="3" t="s">
        <v>27</v>
      </c>
      <c r="K19" s="3" t="s">
        <v>123</v>
      </c>
      <c r="L19" s="3" t="s">
        <v>124</v>
      </c>
      <c r="M19" s="3" t="s">
        <v>30</v>
      </c>
      <c r="N19" s="3" t="s">
        <v>125</v>
      </c>
    </row>
    <row r="20" spans="1:14" ht="55.2">
      <c r="A20" s="3" t="s">
        <v>126</v>
      </c>
      <c r="B20" s="3" t="s">
        <v>120</v>
      </c>
      <c r="C20" s="3" t="s">
        <v>121</v>
      </c>
      <c r="D20" s="3" t="s">
        <v>21</v>
      </c>
      <c r="E20" s="3" t="s">
        <v>127</v>
      </c>
      <c r="F20" s="3" t="s">
        <v>91</v>
      </c>
      <c r="G20" s="3" t="s">
        <v>128</v>
      </c>
      <c r="H20" s="3" t="s">
        <v>48</v>
      </c>
      <c r="I20" s="3" t="s">
        <v>26</v>
      </c>
      <c r="J20" s="3" t="s">
        <v>27</v>
      </c>
      <c r="K20" s="3" t="s">
        <v>123</v>
      </c>
      <c r="L20" s="3" t="s">
        <v>129</v>
      </c>
      <c r="M20" s="3" t="s">
        <v>130</v>
      </c>
      <c r="N20" s="3" t="s">
        <v>131</v>
      </c>
    </row>
    <row r="21" spans="1:14" ht="41.4">
      <c r="A21" s="3" t="s">
        <v>132</v>
      </c>
      <c r="B21" s="3" t="s">
        <v>133</v>
      </c>
      <c r="C21" s="3" t="s">
        <v>134</v>
      </c>
      <c r="D21" s="3" t="s">
        <v>21</v>
      </c>
      <c r="E21" s="3" t="s">
        <v>135</v>
      </c>
      <c r="F21" s="3" t="s">
        <v>91</v>
      </c>
      <c r="G21" s="3" t="s">
        <v>78</v>
      </c>
      <c r="H21" s="3" t="s">
        <v>25</v>
      </c>
      <c r="I21" s="3" t="s">
        <v>26</v>
      </c>
      <c r="J21" s="3" t="s">
        <v>27</v>
      </c>
      <c r="K21" s="3" t="s">
        <v>136</v>
      </c>
      <c r="L21" s="3" t="s">
        <v>137</v>
      </c>
      <c r="M21" s="3" t="s">
        <v>138</v>
      </c>
      <c r="N21" s="3" t="s">
        <v>139</v>
      </c>
    </row>
    <row r="22" spans="1:14" ht="41.4">
      <c r="A22" s="3" t="s">
        <v>140</v>
      </c>
      <c r="B22" s="3" t="s">
        <v>141</v>
      </c>
      <c r="C22" s="3" t="s">
        <v>142</v>
      </c>
      <c r="D22" s="3" t="s">
        <v>21</v>
      </c>
      <c r="E22" s="3" t="s">
        <v>143</v>
      </c>
      <c r="F22" s="3" t="s">
        <v>91</v>
      </c>
      <c r="G22" s="3" t="s">
        <v>144</v>
      </c>
      <c r="H22" s="3" t="s">
        <v>25</v>
      </c>
      <c r="I22" s="3" t="s">
        <v>26</v>
      </c>
      <c r="J22" s="3" t="s">
        <v>27</v>
      </c>
      <c r="K22" s="3" t="s">
        <v>364</v>
      </c>
      <c r="L22" s="3" t="s">
        <v>377</v>
      </c>
      <c r="M22" s="3" t="s">
        <v>378</v>
      </c>
      <c r="N22" s="3" t="s">
        <v>379</v>
      </c>
    </row>
    <row r="23" spans="1:14" ht="41.4">
      <c r="A23" s="3" t="s">
        <v>145</v>
      </c>
      <c r="B23" s="3" t="s">
        <v>141</v>
      </c>
      <c r="C23" s="3" t="s">
        <v>142</v>
      </c>
      <c r="D23" s="3" t="s">
        <v>21</v>
      </c>
      <c r="E23" s="3" t="s">
        <v>146</v>
      </c>
      <c r="F23" s="3" t="s">
        <v>91</v>
      </c>
      <c r="G23" s="3" t="s">
        <v>144</v>
      </c>
      <c r="H23" s="3" t="s">
        <v>25</v>
      </c>
      <c r="I23" s="3" t="s">
        <v>26</v>
      </c>
      <c r="J23" s="3" t="s">
        <v>27</v>
      </c>
      <c r="K23" s="3" t="s">
        <v>365</v>
      </c>
      <c r="L23" s="3" t="s">
        <v>380</v>
      </c>
      <c r="M23" s="3" t="s">
        <v>378</v>
      </c>
      <c r="N23" s="3" t="s">
        <v>381</v>
      </c>
    </row>
    <row r="24" spans="1:14" ht="41.4">
      <c r="A24" s="3" t="s">
        <v>147</v>
      </c>
      <c r="B24" s="3" t="s">
        <v>141</v>
      </c>
      <c r="C24" s="3" t="s">
        <v>142</v>
      </c>
      <c r="D24" s="3" t="s">
        <v>21</v>
      </c>
      <c r="E24" s="3" t="s">
        <v>148</v>
      </c>
      <c r="F24" s="3" t="s">
        <v>91</v>
      </c>
      <c r="G24" s="3" t="s">
        <v>144</v>
      </c>
      <c r="H24" s="3" t="s">
        <v>25</v>
      </c>
      <c r="I24" s="3" t="s">
        <v>26</v>
      </c>
      <c r="J24" s="3" t="s">
        <v>27</v>
      </c>
      <c r="K24" s="3" t="s">
        <v>364</v>
      </c>
      <c r="L24" s="3" t="s">
        <v>377</v>
      </c>
      <c r="M24" s="3" t="s">
        <v>378</v>
      </c>
      <c r="N24" s="3" t="s">
        <v>379</v>
      </c>
    </row>
    <row r="25" spans="1:14" ht="41.4">
      <c r="A25" s="3" t="s">
        <v>149</v>
      </c>
      <c r="B25" s="3" t="s">
        <v>141</v>
      </c>
      <c r="C25" s="3" t="s">
        <v>142</v>
      </c>
      <c r="D25" s="3" t="s">
        <v>21</v>
      </c>
      <c r="E25" s="3" t="s">
        <v>150</v>
      </c>
      <c r="F25" s="3" t="s">
        <v>91</v>
      </c>
      <c r="G25" s="3" t="s">
        <v>144</v>
      </c>
      <c r="H25" s="3" t="s">
        <v>25</v>
      </c>
      <c r="I25" s="3" t="s">
        <v>26</v>
      </c>
      <c r="J25" s="3" t="s">
        <v>27</v>
      </c>
      <c r="K25" s="3" t="s">
        <v>365</v>
      </c>
      <c r="L25" s="3" t="s">
        <v>380</v>
      </c>
      <c r="M25" s="3" t="s">
        <v>378</v>
      </c>
      <c r="N25" s="3" t="s">
        <v>382</v>
      </c>
    </row>
    <row r="26" spans="1:14" ht="41.4">
      <c r="A26" s="3" t="s">
        <v>151</v>
      </c>
      <c r="B26" s="3" t="s">
        <v>152</v>
      </c>
      <c r="C26" s="3" t="s">
        <v>153</v>
      </c>
      <c r="D26" s="3" t="s">
        <v>21</v>
      </c>
      <c r="E26" s="3" t="s">
        <v>154</v>
      </c>
      <c r="F26" s="3" t="s">
        <v>91</v>
      </c>
      <c r="G26" s="3" t="s">
        <v>78</v>
      </c>
      <c r="H26" s="3" t="s">
        <v>25</v>
      </c>
      <c r="I26" s="3" t="s">
        <v>26</v>
      </c>
      <c r="J26" s="3" t="s">
        <v>27</v>
      </c>
      <c r="K26" s="3" t="s">
        <v>366</v>
      </c>
      <c r="L26" s="3" t="s">
        <v>383</v>
      </c>
      <c r="M26" s="3" t="s">
        <v>30</v>
      </c>
      <c r="N26" s="3" t="s">
        <v>384</v>
      </c>
    </row>
    <row r="27" spans="1:14" ht="41.4">
      <c r="A27" s="3" t="s">
        <v>155</v>
      </c>
      <c r="B27" s="3" t="s">
        <v>156</v>
      </c>
      <c r="C27" s="3" t="s">
        <v>157</v>
      </c>
      <c r="D27" s="3" t="s">
        <v>21</v>
      </c>
      <c r="E27" s="3" t="s">
        <v>158</v>
      </c>
      <c r="F27" s="3" t="s">
        <v>91</v>
      </c>
      <c r="G27" s="3" t="s">
        <v>78</v>
      </c>
      <c r="H27" s="3" t="s">
        <v>25</v>
      </c>
      <c r="I27" s="3" t="s">
        <v>26</v>
      </c>
      <c r="J27" s="3" t="s">
        <v>27</v>
      </c>
      <c r="K27" s="3" t="s">
        <v>367</v>
      </c>
      <c r="L27" s="3" t="s">
        <v>385</v>
      </c>
      <c r="M27" s="3" t="s">
        <v>30</v>
      </c>
      <c r="N27" s="3" t="s">
        <v>386</v>
      </c>
    </row>
    <row r="28" spans="1:14" ht="41.4">
      <c r="A28" s="3" t="s">
        <v>159</v>
      </c>
      <c r="B28" s="3" t="s">
        <v>160</v>
      </c>
      <c r="C28" s="3" t="s">
        <v>161</v>
      </c>
      <c r="D28" s="3" t="s">
        <v>21</v>
      </c>
      <c r="E28" s="3" t="s">
        <v>162</v>
      </c>
      <c r="F28" s="3" t="s">
        <v>91</v>
      </c>
      <c r="G28" s="3" t="s">
        <v>78</v>
      </c>
      <c r="H28" s="3" t="s">
        <v>48</v>
      </c>
      <c r="I28" s="3" t="s">
        <v>26</v>
      </c>
      <c r="J28" s="3" t="s">
        <v>357</v>
      </c>
      <c r="K28" s="3" t="s">
        <v>370</v>
      </c>
      <c r="L28" s="3" t="s">
        <v>370</v>
      </c>
      <c r="M28" s="3" t="s">
        <v>371</v>
      </c>
      <c r="N28" s="3" t="s">
        <v>372</v>
      </c>
    </row>
    <row r="29" spans="1:14" ht="41.4">
      <c r="A29" s="3" t="s">
        <v>163</v>
      </c>
      <c r="B29" s="3" t="s">
        <v>160</v>
      </c>
      <c r="C29" s="3" t="s">
        <v>161</v>
      </c>
      <c r="D29" s="3" t="s">
        <v>21</v>
      </c>
      <c r="E29" s="3" t="s">
        <v>164</v>
      </c>
      <c r="F29" s="3" t="s">
        <v>91</v>
      </c>
      <c r="G29" s="3" t="s">
        <v>78</v>
      </c>
      <c r="H29" s="3" t="s">
        <v>48</v>
      </c>
      <c r="I29" s="3" t="s">
        <v>26</v>
      </c>
      <c r="J29" s="3" t="s">
        <v>27</v>
      </c>
      <c r="K29" s="3" t="s">
        <v>368</v>
      </c>
      <c r="L29" s="3" t="s">
        <v>387</v>
      </c>
      <c r="M29" s="3" t="s">
        <v>30</v>
      </c>
      <c r="N29" s="3" t="s">
        <v>388</v>
      </c>
    </row>
    <row r="30" spans="1:14" ht="41.4">
      <c r="A30" s="3" t="s">
        <v>165</v>
      </c>
      <c r="B30" s="3" t="s">
        <v>160</v>
      </c>
      <c r="C30" s="3" t="s">
        <v>161</v>
      </c>
      <c r="D30" s="3" t="s">
        <v>21</v>
      </c>
      <c r="E30" s="3" t="s">
        <v>166</v>
      </c>
      <c r="F30" s="3" t="s">
        <v>91</v>
      </c>
      <c r="G30" s="3" t="s">
        <v>78</v>
      </c>
      <c r="H30" s="3" t="s">
        <v>48</v>
      </c>
      <c r="I30" s="3" t="s">
        <v>26</v>
      </c>
      <c r="J30" s="3" t="s">
        <v>357</v>
      </c>
      <c r="K30" s="3" t="s">
        <v>370</v>
      </c>
      <c r="L30" s="3" t="s">
        <v>370</v>
      </c>
      <c r="M30" s="3" t="s">
        <v>371</v>
      </c>
      <c r="N30" s="3" t="s">
        <v>372</v>
      </c>
    </row>
    <row r="31" spans="1:14" ht="41.4">
      <c r="A31" s="3" t="s">
        <v>167</v>
      </c>
      <c r="B31" s="3" t="s">
        <v>168</v>
      </c>
      <c r="C31" s="3" t="s">
        <v>169</v>
      </c>
      <c r="D31" s="3" t="s">
        <v>21</v>
      </c>
      <c r="E31" s="3" t="s">
        <v>170</v>
      </c>
      <c r="F31" s="3" t="s">
        <v>91</v>
      </c>
      <c r="G31" s="3" t="s">
        <v>78</v>
      </c>
      <c r="H31" s="3" t="s">
        <v>25</v>
      </c>
      <c r="I31" s="3" t="s">
        <v>26</v>
      </c>
      <c r="J31" s="3" t="s">
        <v>27</v>
      </c>
      <c r="K31" s="3" t="s">
        <v>49</v>
      </c>
      <c r="L31" s="3" t="s">
        <v>389</v>
      </c>
      <c r="M31" s="3" t="s">
        <v>56</v>
      </c>
      <c r="N31" s="3" t="s">
        <v>390</v>
      </c>
    </row>
    <row r="32" spans="1:14" ht="41.4">
      <c r="A32" s="3" t="s">
        <v>171</v>
      </c>
      <c r="B32" s="3" t="s">
        <v>168</v>
      </c>
      <c r="C32" s="3" t="s">
        <v>169</v>
      </c>
      <c r="D32" s="3" t="s">
        <v>21</v>
      </c>
      <c r="E32" s="3" t="s">
        <v>172</v>
      </c>
      <c r="F32" s="3" t="s">
        <v>91</v>
      </c>
      <c r="G32" s="3" t="s">
        <v>173</v>
      </c>
      <c r="H32" s="3" t="s">
        <v>25</v>
      </c>
      <c r="I32" s="3" t="s">
        <v>26</v>
      </c>
      <c r="J32" s="3" t="s">
        <v>357</v>
      </c>
      <c r="K32" s="3" t="s">
        <v>370</v>
      </c>
      <c r="L32" s="3" t="s">
        <v>370</v>
      </c>
      <c r="M32" s="3" t="s">
        <v>371</v>
      </c>
      <c r="N32" s="3" t="s">
        <v>372</v>
      </c>
    </row>
    <row r="33" spans="1:14" ht="41.4">
      <c r="A33" s="3" t="s">
        <v>174</v>
      </c>
      <c r="B33" s="3" t="s">
        <v>175</v>
      </c>
      <c r="C33" s="3" t="s">
        <v>176</v>
      </c>
      <c r="D33" s="3" t="s">
        <v>21</v>
      </c>
      <c r="E33" s="3" t="s">
        <v>177</v>
      </c>
      <c r="F33" s="3" t="s">
        <v>91</v>
      </c>
      <c r="G33" s="3" t="s">
        <v>24</v>
      </c>
      <c r="H33" s="3" t="s">
        <v>25</v>
      </c>
      <c r="I33" s="3" t="s">
        <v>26</v>
      </c>
      <c r="J33" s="3" t="s">
        <v>27</v>
      </c>
      <c r="K33" s="3" t="s">
        <v>365</v>
      </c>
      <c r="L33" s="3" t="s">
        <v>391</v>
      </c>
      <c r="M33" s="3" t="s">
        <v>30</v>
      </c>
      <c r="N33" s="3" t="s">
        <v>392</v>
      </c>
    </row>
    <row r="34" spans="1:14" ht="41.4">
      <c r="A34" s="3" t="s">
        <v>178</v>
      </c>
      <c r="B34" s="3" t="s">
        <v>175</v>
      </c>
      <c r="C34" s="3" t="s">
        <v>176</v>
      </c>
      <c r="D34" s="3" t="s">
        <v>21</v>
      </c>
      <c r="E34" s="3" t="s">
        <v>179</v>
      </c>
      <c r="F34" s="3" t="s">
        <v>91</v>
      </c>
      <c r="G34" s="3" t="s">
        <v>180</v>
      </c>
      <c r="H34" s="3" t="s">
        <v>25</v>
      </c>
      <c r="I34" s="3" t="s">
        <v>26</v>
      </c>
      <c r="J34" s="3" t="s">
        <v>27</v>
      </c>
      <c r="K34" s="3" t="s">
        <v>365</v>
      </c>
      <c r="L34" s="3" t="s">
        <v>393</v>
      </c>
      <c r="M34" s="3" t="s">
        <v>30</v>
      </c>
      <c r="N34" s="3" t="s">
        <v>394</v>
      </c>
    </row>
    <row r="35" spans="1:14" ht="41.4">
      <c r="A35" s="3" t="s">
        <v>181</v>
      </c>
      <c r="B35" s="3" t="s">
        <v>175</v>
      </c>
      <c r="C35" s="3" t="s">
        <v>176</v>
      </c>
      <c r="D35" s="3" t="s">
        <v>21</v>
      </c>
      <c r="E35" s="3" t="s">
        <v>182</v>
      </c>
      <c r="F35" s="3" t="s">
        <v>91</v>
      </c>
      <c r="G35" s="3" t="s">
        <v>78</v>
      </c>
      <c r="H35" s="3" t="s">
        <v>25</v>
      </c>
      <c r="I35" s="3" t="s">
        <v>26</v>
      </c>
      <c r="J35" s="3" t="s">
        <v>27</v>
      </c>
      <c r="K35" s="3" t="s">
        <v>365</v>
      </c>
      <c r="L35" s="3" t="s">
        <v>395</v>
      </c>
      <c r="M35" s="3" t="s">
        <v>396</v>
      </c>
      <c r="N35" s="3" t="s">
        <v>397</v>
      </c>
    </row>
    <row r="36" spans="1:14" ht="41.4">
      <c r="A36" s="3" t="s">
        <v>183</v>
      </c>
      <c r="B36" s="3" t="s">
        <v>175</v>
      </c>
      <c r="C36" s="3" t="s">
        <v>176</v>
      </c>
      <c r="D36" s="3" t="s">
        <v>21</v>
      </c>
      <c r="E36" s="3" t="s">
        <v>184</v>
      </c>
      <c r="F36" s="3" t="s">
        <v>185</v>
      </c>
      <c r="G36" s="3" t="s">
        <v>186</v>
      </c>
      <c r="H36" s="3" t="s">
        <v>25</v>
      </c>
      <c r="I36" s="3" t="s">
        <v>26</v>
      </c>
      <c r="J36" s="3" t="s">
        <v>27</v>
      </c>
      <c r="K36" s="3" t="s">
        <v>365</v>
      </c>
      <c r="L36" s="3" t="s">
        <v>398</v>
      </c>
      <c r="M36" s="3" t="s">
        <v>399</v>
      </c>
      <c r="N36" s="3" t="s">
        <v>400</v>
      </c>
    </row>
    <row r="37" spans="1:14" ht="41.4">
      <c r="A37" s="3" t="s">
        <v>187</v>
      </c>
      <c r="B37" s="3" t="s">
        <v>175</v>
      </c>
      <c r="C37" s="3" t="s">
        <v>176</v>
      </c>
      <c r="D37" s="3" t="s">
        <v>21</v>
      </c>
      <c r="E37" s="3" t="s">
        <v>188</v>
      </c>
      <c r="F37" s="3" t="s">
        <v>189</v>
      </c>
      <c r="G37" s="3" t="s">
        <v>144</v>
      </c>
      <c r="H37" s="3" t="s">
        <v>25</v>
      </c>
      <c r="I37" s="3" t="s">
        <v>26</v>
      </c>
      <c r="J37" s="3" t="s">
        <v>27</v>
      </c>
      <c r="K37" s="3" t="s">
        <v>365</v>
      </c>
      <c r="L37" s="3" t="s">
        <v>380</v>
      </c>
      <c r="M37" s="3" t="s">
        <v>378</v>
      </c>
      <c r="N37" s="3" t="s">
        <v>401</v>
      </c>
    </row>
  </sheetData>
  <conditionalFormatting sqref="J2:J37">
    <cfRule type="expression" dxfId="2" priority="1">
      <formula>J2="Automated"</formula>
    </cfRule>
    <cfRule type="expression" dxfId="1" priority="2">
      <formula>J2="Partially covered"</formula>
    </cfRule>
    <cfRule type="expression" dxfId="0" priority="3">
      <formula>J2="Not Started"</formula>
    </cfRule>
  </conditionalFormatting>
  <dataValidations count="2">
    <dataValidation type="list" sqref="J2:J37" xr:uid="{00000000-0002-0000-0100-000000000000}">
      <formula1>"Automated,Partially covered,Not Started"</formula1>
    </dataValidation>
    <dataValidation type="list" sqref="H2:H37" xr:uid="{00000000-0002-0000-0100-000001000000}">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
  <sheetViews>
    <sheetView workbookViewId="0"/>
  </sheetViews>
  <sheetFormatPr defaultRowHeight="13.8"/>
  <cols>
    <col min="1" max="2" width="14" customWidth="1"/>
    <col min="3" max="3" width="30" customWidth="1"/>
    <col min="4" max="4" width="14" customWidth="1"/>
    <col min="5" max="5" width="12" customWidth="1"/>
    <col min="6" max="8" width="10" customWidth="1"/>
    <col min="9" max="9" width="14" customWidth="1"/>
    <col min="10" max="10" width="55" customWidth="1"/>
  </cols>
  <sheetData>
    <row r="1" spans="1:10">
      <c r="A1" s="2" t="s">
        <v>190</v>
      </c>
      <c r="B1" s="2" t="s">
        <v>8</v>
      </c>
      <c r="C1" s="2" t="s">
        <v>191</v>
      </c>
      <c r="D1" s="2" t="s">
        <v>192</v>
      </c>
      <c r="E1" s="2" t="s">
        <v>193</v>
      </c>
      <c r="F1" s="2" t="s">
        <v>194</v>
      </c>
      <c r="G1" s="2" t="s">
        <v>195</v>
      </c>
      <c r="H1" s="2" t="s">
        <v>196</v>
      </c>
      <c r="I1" s="2" t="s">
        <v>197</v>
      </c>
      <c r="J1" s="2" t="s">
        <v>17</v>
      </c>
    </row>
    <row r="2" spans="1:10">
      <c r="A2" s="6">
        <v>46262</v>
      </c>
      <c r="B2" s="3" t="s">
        <v>21</v>
      </c>
      <c r="C2" s="3" t="s">
        <v>198</v>
      </c>
      <c r="D2" s="3">
        <v>7</v>
      </c>
      <c r="E2" s="3">
        <v>7</v>
      </c>
      <c r="F2" s="3">
        <v>7</v>
      </c>
      <c r="G2" s="3">
        <v>0</v>
      </c>
      <c r="H2" s="3">
        <v>0</v>
      </c>
      <c r="I2" s="3" t="s">
        <v>199</v>
      </c>
      <c r="J2" s="3" t="s">
        <v>200</v>
      </c>
    </row>
    <row r="3" spans="1:10">
      <c r="A3" s="7">
        <v>46262</v>
      </c>
      <c r="B3" s="4" t="s">
        <v>21</v>
      </c>
      <c r="C3" s="4" t="s">
        <v>49</v>
      </c>
      <c r="D3" s="4">
        <v>5</v>
      </c>
      <c r="E3" s="4">
        <v>5</v>
      </c>
      <c r="F3" s="4">
        <v>5</v>
      </c>
      <c r="G3" s="4">
        <v>0</v>
      </c>
      <c r="H3" s="4">
        <v>0</v>
      </c>
      <c r="I3" s="4" t="s">
        <v>199</v>
      </c>
      <c r="J3" s="4" t="s">
        <v>201</v>
      </c>
    </row>
    <row r="4" spans="1:10">
      <c r="A4" s="7">
        <v>46262</v>
      </c>
      <c r="B4" s="4" t="s">
        <v>21</v>
      </c>
      <c r="C4" s="4" t="s">
        <v>123</v>
      </c>
      <c r="D4" s="4">
        <v>2</v>
      </c>
      <c r="E4" s="4">
        <v>2</v>
      </c>
      <c r="F4" s="4">
        <v>2</v>
      </c>
      <c r="G4" s="4">
        <v>0</v>
      </c>
      <c r="H4" s="4">
        <v>0</v>
      </c>
      <c r="I4" s="4" t="s">
        <v>199</v>
      </c>
      <c r="J4" s="4" t="s">
        <v>202</v>
      </c>
    </row>
    <row r="5" spans="1:10">
      <c r="A5" s="7">
        <v>46262</v>
      </c>
      <c r="B5" s="4" t="s">
        <v>21</v>
      </c>
      <c r="C5" s="4" t="s">
        <v>108</v>
      </c>
      <c r="D5" s="4">
        <v>3</v>
      </c>
      <c r="E5" s="4">
        <v>3</v>
      </c>
      <c r="F5" s="4">
        <v>3</v>
      </c>
      <c r="G5" s="4">
        <v>0</v>
      </c>
      <c r="H5" s="4">
        <v>0</v>
      </c>
      <c r="I5" s="4" t="s">
        <v>199</v>
      </c>
      <c r="J5" s="4" t="s">
        <v>203</v>
      </c>
    </row>
    <row r="6" spans="1:10">
      <c r="A6" s="7">
        <v>46280</v>
      </c>
      <c r="B6" s="4" t="s">
        <v>21</v>
      </c>
      <c r="C6" s="4" t="s">
        <v>204</v>
      </c>
      <c r="D6" s="4">
        <v>19</v>
      </c>
      <c r="E6" s="4">
        <v>19</v>
      </c>
      <c r="F6" s="4">
        <v>19</v>
      </c>
      <c r="G6" s="4">
        <v>0</v>
      </c>
      <c r="H6" s="4">
        <v>0</v>
      </c>
      <c r="I6" s="4" t="s">
        <v>199</v>
      </c>
      <c r="J6" s="4" t="s">
        <v>205</v>
      </c>
    </row>
    <row r="7" spans="1:10">
      <c r="A7" s="8">
        <v>46286</v>
      </c>
      <c r="B7" t="s">
        <v>402</v>
      </c>
      <c r="C7" t="s">
        <v>403</v>
      </c>
      <c r="D7">
        <v>20</v>
      </c>
      <c r="E7">
        <v>20</v>
      </c>
      <c r="F7">
        <v>20</v>
      </c>
      <c r="G7">
        <v>0</v>
      </c>
      <c r="H7">
        <v>0</v>
      </c>
      <c r="I7" t="s">
        <v>199</v>
      </c>
      <c r="J7" t="s">
        <v>404</v>
      </c>
    </row>
    <row r="8" spans="1:10">
      <c r="A8" s="8">
        <v>46288</v>
      </c>
      <c r="B8" t="s">
        <v>402</v>
      </c>
      <c r="C8" t="s">
        <v>403</v>
      </c>
      <c r="D8">
        <v>34</v>
      </c>
      <c r="E8">
        <v>34</v>
      </c>
      <c r="F8">
        <v>34</v>
      </c>
      <c r="G8">
        <v>0</v>
      </c>
      <c r="H8">
        <v>0</v>
      </c>
      <c r="I8" t="s">
        <v>199</v>
      </c>
      <c r="J8" t="s">
        <v>405</v>
      </c>
    </row>
    <row r="9" spans="1:10">
      <c r="A9" s="1"/>
    </row>
    <row r="10" spans="1:10">
      <c r="A10" s="1"/>
    </row>
    <row r="11" spans="1:10">
      <c r="A11" s="1"/>
    </row>
    <row r="12" spans="1:10">
      <c r="A12" s="1"/>
    </row>
    <row r="13" spans="1:10">
      <c r="A13" s="1"/>
    </row>
    <row r="14" spans="1:10">
      <c r="A14" s="1"/>
    </row>
    <row r="15" spans="1:10">
      <c r="A15" s="1"/>
    </row>
    <row r="16" spans="1:10">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row r="29" spans="1:1">
      <c r="A29" s="1"/>
    </row>
    <row r="30" spans="1:1">
      <c r="A30" s="1"/>
    </row>
    <row r="31" spans="1:1">
      <c r="A31" s="1"/>
    </row>
    <row r="32" spans="1:1">
      <c r="A32" s="1"/>
    </row>
    <row r="33" spans="1:1">
      <c r="A33" s="1"/>
    </row>
    <row r="34" spans="1:1">
      <c r="A34" s="1"/>
    </row>
    <row r="35" spans="1:1">
      <c r="A35" s="1"/>
    </row>
    <row r="36" spans="1:1">
      <c r="A36" s="1"/>
    </row>
    <row r="37" spans="1:1">
      <c r="A37" s="1"/>
    </row>
    <row r="38" spans="1:1">
      <c r="A38" s="1"/>
    </row>
    <row r="39" spans="1:1">
      <c r="A39" s="1"/>
    </row>
    <row r="40" spans="1:1">
      <c r="A40" s="1"/>
    </row>
    <row r="41" spans="1:1">
      <c r="A41" s="1"/>
    </row>
    <row r="42" spans="1:1">
      <c r="A42" s="1"/>
    </row>
    <row r="43" spans="1:1">
      <c r="A43" s="1"/>
    </row>
    <row r="44" spans="1:1">
      <c r="A44" s="1"/>
    </row>
    <row r="45" spans="1:1">
      <c r="A45" s="1"/>
    </row>
    <row r="46" spans="1:1">
      <c r="A46" s="1"/>
    </row>
    <row r="47" spans="1:1">
      <c r="A47" s="1"/>
    </row>
    <row r="48" spans="1:1">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3.8"/>
  <cols>
    <col min="1" max="1" width="20" customWidth="1"/>
    <col min="2" max="2" width="40" customWidth="1"/>
    <col min="3" max="3" width="38" customWidth="1"/>
    <col min="4" max="4" width="45" customWidth="1"/>
  </cols>
  <sheetData>
    <row r="1" spans="1:4">
      <c r="A1" s="2" t="s">
        <v>206</v>
      </c>
      <c r="B1" s="2" t="s">
        <v>207</v>
      </c>
      <c r="C1" s="2" t="s">
        <v>208</v>
      </c>
      <c r="D1" s="2" t="s">
        <v>209</v>
      </c>
    </row>
    <row r="2" spans="1:4" ht="22.05" customHeight="1">
      <c r="A2" s="3" t="s">
        <v>210</v>
      </c>
      <c r="B2" s="3" t="s">
        <v>211</v>
      </c>
      <c r="C2" s="3" t="s">
        <v>212</v>
      </c>
      <c r="D2" s="3" t="s">
        <v>213</v>
      </c>
    </row>
    <row r="3" spans="1:4" ht="22.05" customHeight="1">
      <c r="A3" s="3" t="s">
        <v>214</v>
      </c>
      <c r="B3" s="3" t="s">
        <v>215</v>
      </c>
      <c r="C3" s="3" t="s">
        <v>216</v>
      </c>
      <c r="D3" s="3" t="s">
        <v>217</v>
      </c>
    </row>
    <row r="4" spans="1:4" ht="22.05" customHeight="1">
      <c r="A4" s="3" t="s">
        <v>218</v>
      </c>
      <c r="B4" s="3" t="s">
        <v>219</v>
      </c>
      <c r="C4" s="3" t="s">
        <v>220</v>
      </c>
      <c r="D4" s="3" t="s">
        <v>221</v>
      </c>
    </row>
    <row r="5" spans="1:4" ht="22.05" customHeight="1">
      <c r="A5" s="3" t="s">
        <v>222</v>
      </c>
      <c r="B5" s="3" t="s">
        <v>223</v>
      </c>
      <c r="C5" s="3" t="s">
        <v>224</v>
      </c>
      <c r="D5" s="3" t="s">
        <v>225</v>
      </c>
    </row>
    <row r="6" spans="1:4">
      <c r="A6" s="3" t="s">
        <v>226</v>
      </c>
      <c r="B6" s="3" t="s">
        <v>227</v>
      </c>
      <c r="C6" s="3" t="s">
        <v>228</v>
      </c>
      <c r="D6" s="3" t="s">
        <v>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7"/>
  <sheetViews>
    <sheetView workbookViewId="0"/>
  </sheetViews>
  <sheetFormatPr defaultRowHeight="13.8"/>
  <cols>
    <col min="1" max="3" width="14" customWidth="1"/>
    <col min="4" max="4" width="12" customWidth="1"/>
    <col min="5" max="5" width="42" customWidth="1"/>
    <col min="6" max="6" width="34" customWidth="1"/>
    <col min="7" max="7" width="22" customWidth="1"/>
    <col min="8" max="8" width="40" customWidth="1"/>
    <col min="9" max="10" width="42" customWidth="1"/>
    <col min="11" max="12" width="12" customWidth="1"/>
    <col min="13" max="13" width="40" customWidth="1"/>
  </cols>
  <sheetData>
    <row r="1" spans="1:13" ht="22.05" customHeight="1">
      <c r="A1" s="2" t="s">
        <v>5</v>
      </c>
      <c r="B1" s="2" t="s">
        <v>6</v>
      </c>
      <c r="C1" s="2" t="s">
        <v>7</v>
      </c>
      <c r="D1" s="2" t="s">
        <v>8</v>
      </c>
      <c r="E1" s="2" t="s">
        <v>9</v>
      </c>
      <c r="F1" s="2" t="s">
        <v>10</v>
      </c>
      <c r="G1" s="2" t="s">
        <v>11</v>
      </c>
      <c r="H1" s="2" t="s">
        <v>230</v>
      </c>
      <c r="I1" s="2" t="s">
        <v>231</v>
      </c>
      <c r="J1" s="2" t="s">
        <v>232</v>
      </c>
      <c r="K1" s="2" t="s">
        <v>233</v>
      </c>
      <c r="L1" s="2" t="s">
        <v>234</v>
      </c>
      <c r="M1" s="2" t="s">
        <v>235</v>
      </c>
    </row>
    <row r="2" spans="1:13" ht="22.05" customHeight="1">
      <c r="A2" s="3" t="s">
        <v>18</v>
      </c>
      <c r="B2" s="3" t="s">
        <v>19</v>
      </c>
      <c r="C2" s="3" t="s">
        <v>20</v>
      </c>
      <c r="D2" s="3" t="s">
        <v>21</v>
      </c>
      <c r="E2" s="3" t="s">
        <v>22</v>
      </c>
      <c r="F2" s="3" t="s">
        <v>23</v>
      </c>
      <c r="G2" s="3" t="s">
        <v>24</v>
      </c>
      <c r="H2" s="3" t="s">
        <v>236</v>
      </c>
      <c r="I2" s="3" t="s">
        <v>237</v>
      </c>
      <c r="J2" s="3" t="s">
        <v>238</v>
      </c>
      <c r="K2" s="3" t="s">
        <v>26</v>
      </c>
      <c r="L2" s="3" t="s">
        <v>25</v>
      </c>
      <c r="M2" s="3" t="s">
        <v>24</v>
      </c>
    </row>
    <row r="3" spans="1:13" ht="44.1" customHeight="1">
      <c r="A3" s="3" t="s">
        <v>32</v>
      </c>
      <c r="B3" s="3" t="s">
        <v>33</v>
      </c>
      <c r="C3" s="3" t="s">
        <v>34</v>
      </c>
      <c r="D3" s="3" t="s">
        <v>21</v>
      </c>
      <c r="E3" s="3" t="s">
        <v>35</v>
      </c>
      <c r="F3" s="3" t="s">
        <v>36</v>
      </c>
      <c r="G3" s="3" t="s">
        <v>24</v>
      </c>
      <c r="H3" s="3" t="s">
        <v>239</v>
      </c>
      <c r="I3" s="3" t="s">
        <v>240</v>
      </c>
      <c r="J3" s="3" t="s">
        <v>241</v>
      </c>
      <c r="K3" s="3" t="s">
        <v>26</v>
      </c>
      <c r="L3" s="3" t="s">
        <v>25</v>
      </c>
      <c r="M3" s="3" t="s">
        <v>242</v>
      </c>
    </row>
    <row r="4" spans="1:13" ht="22.05" customHeight="1">
      <c r="A4" s="3" t="s">
        <v>37</v>
      </c>
      <c r="B4" s="3" t="s">
        <v>38</v>
      </c>
      <c r="C4" s="3" t="s">
        <v>39</v>
      </c>
      <c r="D4" s="3" t="s">
        <v>21</v>
      </c>
      <c r="E4" s="3" t="s">
        <v>40</v>
      </c>
      <c r="F4" s="3" t="s">
        <v>23</v>
      </c>
      <c r="G4" s="3" t="s">
        <v>24</v>
      </c>
      <c r="H4" s="3" t="s">
        <v>243</v>
      </c>
      <c r="I4" s="3" t="s">
        <v>244</v>
      </c>
      <c r="J4" s="3" t="s">
        <v>245</v>
      </c>
      <c r="K4" s="3" t="s">
        <v>26</v>
      </c>
      <c r="L4" s="3" t="s">
        <v>25</v>
      </c>
      <c r="M4" s="3" t="s">
        <v>24</v>
      </c>
    </row>
    <row r="5" spans="1:13" ht="33.15" customHeight="1">
      <c r="A5" s="3" t="s">
        <v>41</v>
      </c>
      <c r="B5" s="3" t="s">
        <v>42</v>
      </c>
      <c r="C5" s="3" t="s">
        <v>43</v>
      </c>
      <c r="D5" s="3" t="s">
        <v>21</v>
      </c>
      <c r="E5" s="3" t="s">
        <v>44</v>
      </c>
      <c r="F5" s="3" t="s">
        <v>23</v>
      </c>
      <c r="G5" s="3" t="s">
        <v>24</v>
      </c>
      <c r="H5" s="3" t="s">
        <v>246</v>
      </c>
      <c r="I5" s="3" t="s">
        <v>247</v>
      </c>
      <c r="J5" s="3" t="s">
        <v>248</v>
      </c>
      <c r="K5" s="3" t="s">
        <v>26</v>
      </c>
      <c r="L5" s="3" t="s">
        <v>25</v>
      </c>
      <c r="M5" s="3" t="s">
        <v>24</v>
      </c>
    </row>
    <row r="6" spans="1:13" ht="44.1" customHeight="1">
      <c r="A6" s="3" t="s">
        <v>45</v>
      </c>
      <c r="B6" s="3" t="s">
        <v>42</v>
      </c>
      <c r="C6" s="3" t="s">
        <v>43</v>
      </c>
      <c r="D6" s="3" t="s">
        <v>21</v>
      </c>
      <c r="E6" s="3" t="s">
        <v>46</v>
      </c>
      <c r="F6" s="3" t="s">
        <v>23</v>
      </c>
      <c r="G6" s="3" t="s">
        <v>47</v>
      </c>
      <c r="H6" s="3" t="s">
        <v>249</v>
      </c>
      <c r="I6" s="3" t="s">
        <v>250</v>
      </c>
      <c r="J6" s="3" t="s">
        <v>251</v>
      </c>
      <c r="K6" s="3" t="s">
        <v>26</v>
      </c>
      <c r="L6" s="3" t="s">
        <v>48</v>
      </c>
      <c r="M6" s="3" t="s">
        <v>24</v>
      </c>
    </row>
    <row r="7" spans="1:13" ht="55.2" customHeight="1">
      <c r="A7" s="3" t="s">
        <v>52</v>
      </c>
      <c r="B7" s="3" t="s">
        <v>38</v>
      </c>
      <c r="C7" s="3" t="s">
        <v>39</v>
      </c>
      <c r="D7" s="3" t="s">
        <v>21</v>
      </c>
      <c r="E7" s="3" t="s">
        <v>53</v>
      </c>
      <c r="F7" s="3" t="s">
        <v>23</v>
      </c>
      <c r="G7" s="3" t="s">
        <v>54</v>
      </c>
      <c r="H7" s="3" t="s">
        <v>252</v>
      </c>
      <c r="I7" s="3" t="s">
        <v>253</v>
      </c>
      <c r="J7" s="3" t="s">
        <v>254</v>
      </c>
      <c r="K7" s="3" t="s">
        <v>26</v>
      </c>
      <c r="L7" s="3" t="s">
        <v>48</v>
      </c>
      <c r="M7" s="3" t="s">
        <v>24</v>
      </c>
    </row>
    <row r="8" spans="1:13" ht="99.3" customHeight="1">
      <c r="A8" s="3" t="s">
        <v>58</v>
      </c>
      <c r="B8" s="3" t="s">
        <v>38</v>
      </c>
      <c r="C8" s="3" t="s">
        <v>39</v>
      </c>
      <c r="D8" s="3" t="s">
        <v>21</v>
      </c>
      <c r="E8" s="3" t="s">
        <v>59</v>
      </c>
      <c r="F8" s="3" t="s">
        <v>23</v>
      </c>
      <c r="G8" s="3" t="s">
        <v>60</v>
      </c>
      <c r="H8" s="3" t="s">
        <v>255</v>
      </c>
      <c r="I8" s="3" t="s">
        <v>256</v>
      </c>
      <c r="J8" s="3" t="s">
        <v>257</v>
      </c>
      <c r="K8" s="3" t="s">
        <v>26</v>
      </c>
      <c r="L8" s="3" t="s">
        <v>25</v>
      </c>
      <c r="M8" s="3" t="s">
        <v>24</v>
      </c>
    </row>
    <row r="9" spans="1:13" ht="44.1" customHeight="1">
      <c r="A9" s="3" t="s">
        <v>64</v>
      </c>
      <c r="B9" s="3" t="s">
        <v>65</v>
      </c>
      <c r="C9" s="3" t="s">
        <v>66</v>
      </c>
      <c r="D9" s="3" t="s">
        <v>21</v>
      </c>
      <c r="E9" s="3" t="s">
        <v>67</v>
      </c>
      <c r="F9" s="3" t="s">
        <v>23</v>
      </c>
      <c r="G9" s="3" t="s">
        <v>68</v>
      </c>
      <c r="H9" s="3" t="s">
        <v>258</v>
      </c>
      <c r="I9" s="3" t="s">
        <v>259</v>
      </c>
      <c r="J9" s="3" t="s">
        <v>260</v>
      </c>
      <c r="K9" s="3" t="s">
        <v>26</v>
      </c>
      <c r="L9" s="3" t="s">
        <v>48</v>
      </c>
      <c r="M9" s="3" t="s">
        <v>24</v>
      </c>
    </row>
    <row r="10" spans="1:13" ht="44.1" customHeight="1">
      <c r="A10" s="3" t="s">
        <v>70</v>
      </c>
      <c r="B10" s="3" t="s">
        <v>71</v>
      </c>
      <c r="C10" s="3" t="s">
        <v>72</v>
      </c>
      <c r="D10" s="3" t="s">
        <v>21</v>
      </c>
      <c r="E10" s="3" t="s">
        <v>73</v>
      </c>
      <c r="F10" s="3" t="s">
        <v>23</v>
      </c>
      <c r="G10" s="3" t="s">
        <v>24</v>
      </c>
      <c r="H10" s="3" t="s">
        <v>261</v>
      </c>
      <c r="I10" s="3" t="s">
        <v>262</v>
      </c>
      <c r="J10" s="3" t="s">
        <v>263</v>
      </c>
      <c r="K10" s="3" t="s">
        <v>26</v>
      </c>
      <c r="L10" s="3" t="s">
        <v>25</v>
      </c>
      <c r="M10" s="3"/>
    </row>
    <row r="11" spans="1:13" ht="66.3" customHeight="1">
      <c r="A11" s="3" t="s">
        <v>76</v>
      </c>
      <c r="B11" s="3" t="s">
        <v>33</v>
      </c>
      <c r="C11" s="3" t="s">
        <v>34</v>
      </c>
      <c r="D11" s="3" t="s">
        <v>21</v>
      </c>
      <c r="E11" s="3" t="s">
        <v>77</v>
      </c>
      <c r="F11" s="3" t="s">
        <v>23</v>
      </c>
      <c r="G11" s="3" t="s">
        <v>78</v>
      </c>
      <c r="H11" s="3" t="s">
        <v>264</v>
      </c>
      <c r="I11" s="3" t="s">
        <v>265</v>
      </c>
      <c r="J11" s="3" t="s">
        <v>266</v>
      </c>
      <c r="K11" s="3" t="s">
        <v>26</v>
      </c>
      <c r="L11" s="3" t="s">
        <v>48</v>
      </c>
      <c r="M11" s="3"/>
    </row>
    <row r="12" spans="1:13" ht="33.15" customHeight="1">
      <c r="A12" s="3" t="s">
        <v>81</v>
      </c>
      <c r="B12" s="3" t="s">
        <v>33</v>
      </c>
      <c r="C12" s="3" t="s">
        <v>34</v>
      </c>
      <c r="D12" s="3" t="s">
        <v>21</v>
      </c>
      <c r="E12" s="3" t="s">
        <v>82</v>
      </c>
      <c r="F12" s="3" t="s">
        <v>83</v>
      </c>
      <c r="G12" s="3" t="s">
        <v>84</v>
      </c>
      <c r="H12" s="3" t="s">
        <v>267</v>
      </c>
      <c r="I12" s="3" t="s">
        <v>268</v>
      </c>
      <c r="J12" s="3" t="s">
        <v>269</v>
      </c>
      <c r="K12" s="3" t="s">
        <v>26</v>
      </c>
      <c r="L12" s="3" t="s">
        <v>25</v>
      </c>
      <c r="M12" s="3"/>
    </row>
    <row r="13" spans="1:13" ht="33.15" customHeight="1">
      <c r="A13" s="3" t="s">
        <v>87</v>
      </c>
      <c r="B13" s="3" t="s">
        <v>88</v>
      </c>
      <c r="C13" s="3" t="s">
        <v>89</v>
      </c>
      <c r="D13" s="3" t="s">
        <v>21</v>
      </c>
      <c r="E13" s="3" t="s">
        <v>90</v>
      </c>
      <c r="F13" s="3" t="s">
        <v>91</v>
      </c>
      <c r="G13" s="3" t="s">
        <v>78</v>
      </c>
      <c r="H13" s="3" t="s">
        <v>270</v>
      </c>
      <c r="I13" s="3" t="s">
        <v>271</v>
      </c>
      <c r="J13" s="3" t="s">
        <v>272</v>
      </c>
      <c r="K13" s="3" t="s">
        <v>26</v>
      </c>
      <c r="L13" s="3" t="s">
        <v>25</v>
      </c>
      <c r="M13" s="3" t="s">
        <v>24</v>
      </c>
    </row>
    <row r="14" spans="1:13" ht="55.2" customHeight="1">
      <c r="A14" s="3" t="s">
        <v>92</v>
      </c>
      <c r="B14" s="3" t="s">
        <v>93</v>
      </c>
      <c r="C14" s="3" t="s">
        <v>94</v>
      </c>
      <c r="D14" s="3" t="s">
        <v>21</v>
      </c>
      <c r="E14" s="3" t="s">
        <v>95</v>
      </c>
      <c r="F14" s="3" t="s">
        <v>91</v>
      </c>
      <c r="G14" s="3" t="s">
        <v>96</v>
      </c>
      <c r="H14" s="3" t="s">
        <v>273</v>
      </c>
      <c r="I14" s="3" t="s">
        <v>274</v>
      </c>
      <c r="J14" s="3" t="s">
        <v>275</v>
      </c>
      <c r="K14" s="3" t="s">
        <v>26</v>
      </c>
      <c r="L14" s="3" t="s">
        <v>48</v>
      </c>
      <c r="M14" s="3" t="s">
        <v>24</v>
      </c>
    </row>
    <row r="15" spans="1:13" ht="44.1" customHeight="1">
      <c r="A15" s="3" t="s">
        <v>100</v>
      </c>
      <c r="B15" s="3" t="s">
        <v>93</v>
      </c>
      <c r="C15" s="3" t="s">
        <v>94</v>
      </c>
      <c r="D15" s="3" t="s">
        <v>21</v>
      </c>
      <c r="E15" s="3" t="s">
        <v>101</v>
      </c>
      <c r="F15" s="3" t="s">
        <v>91</v>
      </c>
      <c r="G15" s="3" t="s">
        <v>78</v>
      </c>
      <c r="H15" s="3" t="s">
        <v>276</v>
      </c>
      <c r="I15" s="3" t="s">
        <v>277</v>
      </c>
      <c r="J15" s="3" t="s">
        <v>278</v>
      </c>
      <c r="K15" s="3" t="s">
        <v>26</v>
      </c>
      <c r="L15" s="3" t="s">
        <v>48</v>
      </c>
      <c r="M15" s="3" t="s">
        <v>24</v>
      </c>
    </row>
    <row r="16" spans="1:13" ht="44.1" customHeight="1">
      <c r="A16" s="3" t="s">
        <v>103</v>
      </c>
      <c r="B16" s="3" t="s">
        <v>104</v>
      </c>
      <c r="C16" s="3" t="s">
        <v>105</v>
      </c>
      <c r="D16" s="3" t="s">
        <v>21</v>
      </c>
      <c r="E16" s="3" t="s">
        <v>106</v>
      </c>
      <c r="F16" s="3" t="s">
        <v>91</v>
      </c>
      <c r="G16" s="3" t="s">
        <v>107</v>
      </c>
      <c r="H16" s="3" t="s">
        <v>279</v>
      </c>
      <c r="I16" s="3" t="s">
        <v>280</v>
      </c>
      <c r="J16" s="3" t="s">
        <v>281</v>
      </c>
      <c r="K16" s="3" t="s">
        <v>26</v>
      </c>
      <c r="L16" s="3" t="s">
        <v>48</v>
      </c>
      <c r="M16" s="3" t="s">
        <v>24</v>
      </c>
    </row>
    <row r="17" spans="1:13" ht="33.15" customHeight="1">
      <c r="A17" s="3" t="s">
        <v>111</v>
      </c>
      <c r="B17" s="3" t="s">
        <v>104</v>
      </c>
      <c r="C17" s="3" t="s">
        <v>105</v>
      </c>
      <c r="D17" s="3" t="s">
        <v>21</v>
      </c>
      <c r="E17" s="3" t="s">
        <v>112</v>
      </c>
      <c r="F17" s="3" t="s">
        <v>91</v>
      </c>
      <c r="G17" s="3" t="s">
        <v>107</v>
      </c>
      <c r="H17" s="3" t="s">
        <v>282</v>
      </c>
      <c r="I17" s="3" t="s">
        <v>283</v>
      </c>
      <c r="J17" s="3" t="s">
        <v>284</v>
      </c>
      <c r="K17" s="3" t="s">
        <v>26</v>
      </c>
      <c r="L17" s="3" t="s">
        <v>48</v>
      </c>
      <c r="M17" s="3" t="s">
        <v>24</v>
      </c>
    </row>
    <row r="18" spans="1:13" ht="33.15" customHeight="1">
      <c r="A18" s="3" t="s">
        <v>116</v>
      </c>
      <c r="B18" s="3" t="s">
        <v>104</v>
      </c>
      <c r="C18" s="3" t="s">
        <v>105</v>
      </c>
      <c r="D18" s="3" t="s">
        <v>21</v>
      </c>
      <c r="E18" s="3" t="s">
        <v>117</v>
      </c>
      <c r="F18" s="3" t="s">
        <v>91</v>
      </c>
      <c r="G18" s="3" t="s">
        <v>107</v>
      </c>
      <c r="H18" s="3" t="s">
        <v>285</v>
      </c>
      <c r="I18" s="3" t="s">
        <v>286</v>
      </c>
      <c r="J18" s="3" t="s">
        <v>287</v>
      </c>
      <c r="K18" s="3" t="s">
        <v>26</v>
      </c>
      <c r="L18" s="3" t="s">
        <v>48</v>
      </c>
      <c r="M18" s="3" t="s">
        <v>24</v>
      </c>
    </row>
    <row r="19" spans="1:13" ht="55.2" customHeight="1">
      <c r="A19" s="3" t="s">
        <v>119</v>
      </c>
      <c r="B19" s="3" t="s">
        <v>120</v>
      </c>
      <c r="C19" s="3" t="s">
        <v>121</v>
      </c>
      <c r="D19" s="3" t="s">
        <v>21</v>
      </c>
      <c r="E19" s="3" t="s">
        <v>122</v>
      </c>
      <c r="F19" s="3" t="s">
        <v>91</v>
      </c>
      <c r="G19" s="3" t="s">
        <v>78</v>
      </c>
      <c r="H19" s="3" t="s">
        <v>288</v>
      </c>
      <c r="I19" s="3" t="s">
        <v>289</v>
      </c>
      <c r="J19" s="3" t="s">
        <v>290</v>
      </c>
      <c r="K19" s="3" t="s">
        <v>26</v>
      </c>
      <c r="L19" s="3" t="s">
        <v>48</v>
      </c>
      <c r="M19" s="3" t="s">
        <v>24</v>
      </c>
    </row>
    <row r="20" spans="1:13" ht="44.1" customHeight="1">
      <c r="A20" s="3" t="s">
        <v>126</v>
      </c>
      <c r="B20" s="3" t="s">
        <v>120</v>
      </c>
      <c r="C20" s="3" t="s">
        <v>121</v>
      </c>
      <c r="D20" s="3" t="s">
        <v>21</v>
      </c>
      <c r="E20" s="3" t="s">
        <v>127</v>
      </c>
      <c r="F20" s="3" t="s">
        <v>91</v>
      </c>
      <c r="G20" s="3" t="s">
        <v>128</v>
      </c>
      <c r="H20" s="3" t="s">
        <v>291</v>
      </c>
      <c r="I20" s="3" t="s">
        <v>292</v>
      </c>
      <c r="J20" s="3" t="s">
        <v>293</v>
      </c>
      <c r="K20" s="3" t="s">
        <v>26</v>
      </c>
      <c r="L20" s="3" t="s">
        <v>48</v>
      </c>
      <c r="M20" s="3" t="s">
        <v>24</v>
      </c>
    </row>
    <row r="21" spans="1:13" ht="44.1" customHeight="1">
      <c r="A21" s="3" t="s">
        <v>132</v>
      </c>
      <c r="B21" s="3" t="s">
        <v>133</v>
      </c>
      <c r="C21" s="3" t="s">
        <v>134</v>
      </c>
      <c r="D21" s="3" t="s">
        <v>21</v>
      </c>
      <c r="E21" s="3" t="s">
        <v>135</v>
      </c>
      <c r="F21" s="3" t="s">
        <v>91</v>
      </c>
      <c r="G21" s="3" t="s">
        <v>78</v>
      </c>
      <c r="H21" s="3" t="s">
        <v>294</v>
      </c>
      <c r="I21" s="3" t="s">
        <v>295</v>
      </c>
      <c r="J21" s="3" t="s">
        <v>296</v>
      </c>
      <c r="K21" s="3" t="s">
        <v>26</v>
      </c>
      <c r="L21" s="3" t="s">
        <v>25</v>
      </c>
      <c r="M21" s="3" t="s">
        <v>297</v>
      </c>
    </row>
    <row r="22" spans="1:13" ht="55.2" customHeight="1">
      <c r="A22" s="3" t="s">
        <v>140</v>
      </c>
      <c r="B22" s="3" t="s">
        <v>141</v>
      </c>
      <c r="C22" s="3" t="s">
        <v>142</v>
      </c>
      <c r="D22" s="3" t="s">
        <v>21</v>
      </c>
      <c r="E22" s="3" t="s">
        <v>143</v>
      </c>
      <c r="F22" s="3" t="s">
        <v>91</v>
      </c>
      <c r="G22" s="3" t="s">
        <v>144</v>
      </c>
      <c r="H22" s="3" t="s">
        <v>298</v>
      </c>
      <c r="I22" s="3" t="s">
        <v>299</v>
      </c>
      <c r="J22" s="3" t="s">
        <v>300</v>
      </c>
      <c r="K22" s="3" t="s">
        <v>26</v>
      </c>
      <c r="L22" s="3" t="s">
        <v>25</v>
      </c>
      <c r="M22" s="3" t="s">
        <v>24</v>
      </c>
    </row>
    <row r="23" spans="1:13" ht="44.1" customHeight="1">
      <c r="A23" s="3" t="s">
        <v>145</v>
      </c>
      <c r="B23" s="3" t="s">
        <v>141</v>
      </c>
      <c r="C23" s="3" t="s">
        <v>142</v>
      </c>
      <c r="D23" s="3" t="s">
        <v>21</v>
      </c>
      <c r="E23" s="3" t="s">
        <v>146</v>
      </c>
      <c r="F23" s="3" t="s">
        <v>91</v>
      </c>
      <c r="G23" s="3" t="s">
        <v>144</v>
      </c>
      <c r="H23" s="3" t="s">
        <v>301</v>
      </c>
      <c r="I23" s="3" t="s">
        <v>302</v>
      </c>
      <c r="J23" s="3" t="s">
        <v>303</v>
      </c>
      <c r="K23" s="3" t="s">
        <v>26</v>
      </c>
      <c r="L23" s="3" t="s">
        <v>25</v>
      </c>
      <c r="M23" s="3" t="s">
        <v>24</v>
      </c>
    </row>
    <row r="24" spans="1:13" ht="44.1" customHeight="1">
      <c r="A24" s="3" t="s">
        <v>147</v>
      </c>
      <c r="B24" s="3" t="s">
        <v>141</v>
      </c>
      <c r="C24" s="3" t="s">
        <v>142</v>
      </c>
      <c r="D24" s="3" t="s">
        <v>21</v>
      </c>
      <c r="E24" s="3" t="s">
        <v>148</v>
      </c>
      <c r="F24" s="3" t="s">
        <v>91</v>
      </c>
      <c r="G24" s="3" t="s">
        <v>144</v>
      </c>
      <c r="H24" s="3" t="s">
        <v>304</v>
      </c>
      <c r="I24" s="3" t="s">
        <v>305</v>
      </c>
      <c r="J24" s="3" t="s">
        <v>306</v>
      </c>
      <c r="K24" s="3" t="s">
        <v>26</v>
      </c>
      <c r="L24" s="3" t="s">
        <v>25</v>
      </c>
      <c r="M24" s="3" t="s">
        <v>24</v>
      </c>
    </row>
    <row r="25" spans="1:13" ht="44.1" customHeight="1">
      <c r="A25" s="3" t="s">
        <v>149</v>
      </c>
      <c r="B25" s="3" t="s">
        <v>141</v>
      </c>
      <c r="C25" s="3" t="s">
        <v>142</v>
      </c>
      <c r="D25" s="3" t="s">
        <v>21</v>
      </c>
      <c r="E25" s="3" t="s">
        <v>150</v>
      </c>
      <c r="F25" s="3" t="s">
        <v>91</v>
      </c>
      <c r="G25" s="3" t="s">
        <v>144</v>
      </c>
      <c r="H25" s="3" t="s">
        <v>307</v>
      </c>
      <c r="I25" s="3" t="s">
        <v>308</v>
      </c>
      <c r="J25" s="3" t="s">
        <v>309</v>
      </c>
      <c r="K25" s="3" t="s">
        <v>26</v>
      </c>
      <c r="L25" s="3" t="s">
        <v>25</v>
      </c>
      <c r="M25" s="3" t="s">
        <v>24</v>
      </c>
    </row>
    <row r="26" spans="1:13" ht="55.2" customHeight="1">
      <c r="A26" s="3" t="s">
        <v>151</v>
      </c>
      <c r="B26" s="3" t="s">
        <v>152</v>
      </c>
      <c r="C26" s="3" t="s">
        <v>153</v>
      </c>
      <c r="D26" s="3" t="s">
        <v>21</v>
      </c>
      <c r="E26" s="3" t="s">
        <v>154</v>
      </c>
      <c r="F26" s="3" t="s">
        <v>91</v>
      </c>
      <c r="G26" s="3" t="s">
        <v>78</v>
      </c>
      <c r="H26" s="3" t="s">
        <v>310</v>
      </c>
      <c r="I26" s="3" t="s">
        <v>311</v>
      </c>
      <c r="J26" s="3" t="s">
        <v>312</v>
      </c>
      <c r="K26" s="3" t="s">
        <v>26</v>
      </c>
      <c r="L26" s="3" t="s">
        <v>25</v>
      </c>
      <c r="M26" s="3" t="s">
        <v>313</v>
      </c>
    </row>
    <row r="27" spans="1:13" ht="44.1" customHeight="1">
      <c r="A27" s="3" t="s">
        <v>155</v>
      </c>
      <c r="B27" s="3" t="s">
        <v>156</v>
      </c>
      <c r="C27" s="3" t="s">
        <v>157</v>
      </c>
      <c r="D27" s="3" t="s">
        <v>21</v>
      </c>
      <c r="E27" s="3" t="s">
        <v>158</v>
      </c>
      <c r="F27" s="3" t="s">
        <v>91</v>
      </c>
      <c r="G27" s="3" t="s">
        <v>78</v>
      </c>
      <c r="H27" s="3" t="s">
        <v>314</v>
      </c>
      <c r="I27" s="3" t="s">
        <v>315</v>
      </c>
      <c r="J27" s="3" t="s">
        <v>316</v>
      </c>
      <c r="K27" s="3" t="s">
        <v>26</v>
      </c>
      <c r="L27" s="3" t="s">
        <v>25</v>
      </c>
      <c r="M27" s="3" t="s">
        <v>317</v>
      </c>
    </row>
    <row r="28" spans="1:13" ht="44.1" customHeight="1">
      <c r="A28" s="3" t="s">
        <v>159</v>
      </c>
      <c r="B28" s="3" t="s">
        <v>160</v>
      </c>
      <c r="C28" s="3" t="s">
        <v>161</v>
      </c>
      <c r="D28" s="3" t="s">
        <v>21</v>
      </c>
      <c r="E28" s="3" t="s">
        <v>162</v>
      </c>
      <c r="F28" s="3" t="s">
        <v>91</v>
      </c>
      <c r="G28" s="3" t="s">
        <v>78</v>
      </c>
      <c r="H28" s="3" t="s">
        <v>318</v>
      </c>
      <c r="I28" s="3" t="s">
        <v>319</v>
      </c>
      <c r="J28" s="3" t="s">
        <v>320</v>
      </c>
      <c r="K28" s="3" t="s">
        <v>26</v>
      </c>
      <c r="L28" s="3" t="s">
        <v>48</v>
      </c>
      <c r="M28" s="3" t="s">
        <v>321</v>
      </c>
    </row>
    <row r="29" spans="1:13" ht="33.15" customHeight="1">
      <c r="A29" s="3" t="s">
        <v>163</v>
      </c>
      <c r="B29" s="3" t="s">
        <v>160</v>
      </c>
      <c r="C29" s="3" t="s">
        <v>161</v>
      </c>
      <c r="D29" s="3" t="s">
        <v>21</v>
      </c>
      <c r="E29" s="3" t="s">
        <v>164</v>
      </c>
      <c r="F29" s="3" t="s">
        <v>91</v>
      </c>
      <c r="G29" s="3" t="s">
        <v>78</v>
      </c>
      <c r="H29" s="3" t="s">
        <v>322</v>
      </c>
      <c r="I29" s="3" t="s">
        <v>323</v>
      </c>
      <c r="J29" s="3" t="s">
        <v>324</v>
      </c>
      <c r="K29" s="3" t="s">
        <v>26</v>
      </c>
      <c r="L29" s="3" t="s">
        <v>48</v>
      </c>
      <c r="M29" s="3" t="s">
        <v>24</v>
      </c>
    </row>
    <row r="30" spans="1:13" ht="55.2" customHeight="1">
      <c r="A30" s="3" t="s">
        <v>165</v>
      </c>
      <c r="B30" s="3" t="s">
        <v>160</v>
      </c>
      <c r="C30" s="3" t="s">
        <v>161</v>
      </c>
      <c r="D30" s="3" t="s">
        <v>21</v>
      </c>
      <c r="E30" s="3" t="s">
        <v>166</v>
      </c>
      <c r="F30" s="3" t="s">
        <v>91</v>
      </c>
      <c r="G30" s="3" t="s">
        <v>78</v>
      </c>
      <c r="H30" s="3" t="s">
        <v>325</v>
      </c>
      <c r="I30" s="3" t="s">
        <v>326</v>
      </c>
      <c r="J30" s="3" t="s">
        <v>327</v>
      </c>
      <c r="K30" s="3" t="s">
        <v>26</v>
      </c>
      <c r="L30" s="3" t="s">
        <v>48</v>
      </c>
      <c r="M30" s="3" t="s">
        <v>24</v>
      </c>
    </row>
    <row r="31" spans="1:13" ht="55.2" customHeight="1">
      <c r="A31" s="3" t="s">
        <v>167</v>
      </c>
      <c r="B31" s="3" t="s">
        <v>168</v>
      </c>
      <c r="C31" s="3" t="s">
        <v>169</v>
      </c>
      <c r="D31" s="3" t="s">
        <v>21</v>
      </c>
      <c r="E31" s="3" t="s">
        <v>170</v>
      </c>
      <c r="F31" s="3" t="s">
        <v>91</v>
      </c>
      <c r="G31" s="3" t="s">
        <v>78</v>
      </c>
      <c r="H31" s="3" t="s">
        <v>328</v>
      </c>
      <c r="I31" s="3" t="s">
        <v>329</v>
      </c>
      <c r="J31" s="3" t="s">
        <v>330</v>
      </c>
      <c r="K31" s="3" t="s">
        <v>26</v>
      </c>
      <c r="L31" s="3" t="s">
        <v>25</v>
      </c>
      <c r="M31" s="3" t="s">
        <v>24</v>
      </c>
    </row>
    <row r="32" spans="1:13" ht="55.2" customHeight="1">
      <c r="A32" s="3" t="s">
        <v>171</v>
      </c>
      <c r="B32" s="3" t="s">
        <v>168</v>
      </c>
      <c r="C32" s="3" t="s">
        <v>169</v>
      </c>
      <c r="D32" s="3" t="s">
        <v>21</v>
      </c>
      <c r="E32" s="3" t="s">
        <v>172</v>
      </c>
      <c r="F32" s="3" t="s">
        <v>91</v>
      </c>
      <c r="G32" s="3" t="s">
        <v>173</v>
      </c>
      <c r="H32" s="3" t="s">
        <v>331</v>
      </c>
      <c r="I32" s="3" t="s">
        <v>332</v>
      </c>
      <c r="J32" s="3" t="s">
        <v>333</v>
      </c>
      <c r="K32" s="3" t="s">
        <v>26</v>
      </c>
      <c r="L32" s="3" t="s">
        <v>25</v>
      </c>
      <c r="M32" s="3" t="s">
        <v>24</v>
      </c>
    </row>
    <row r="33" spans="1:13" ht="44.1" customHeight="1">
      <c r="A33" s="3" t="s">
        <v>174</v>
      </c>
      <c r="B33" s="3" t="s">
        <v>175</v>
      </c>
      <c r="C33" s="3" t="s">
        <v>176</v>
      </c>
      <c r="D33" s="3" t="s">
        <v>21</v>
      </c>
      <c r="E33" s="3" t="s">
        <v>177</v>
      </c>
      <c r="F33" s="3" t="s">
        <v>91</v>
      </c>
      <c r="G33" s="3" t="s">
        <v>24</v>
      </c>
      <c r="H33" s="3" t="s">
        <v>334</v>
      </c>
      <c r="I33" s="3" t="s">
        <v>335</v>
      </c>
      <c r="J33" s="3" t="s">
        <v>336</v>
      </c>
      <c r="K33" s="3" t="s">
        <v>26</v>
      </c>
      <c r="L33" s="3" t="s">
        <v>25</v>
      </c>
      <c r="M33" s="3" t="s">
        <v>24</v>
      </c>
    </row>
    <row r="34" spans="1:13" ht="44.1" customHeight="1">
      <c r="A34" s="3" t="s">
        <v>178</v>
      </c>
      <c r="B34" s="3" t="s">
        <v>175</v>
      </c>
      <c r="C34" s="3" t="s">
        <v>176</v>
      </c>
      <c r="D34" s="3" t="s">
        <v>21</v>
      </c>
      <c r="E34" s="3" t="s">
        <v>179</v>
      </c>
      <c r="F34" s="3" t="s">
        <v>91</v>
      </c>
      <c r="G34" s="3" t="s">
        <v>180</v>
      </c>
      <c r="H34" s="3" t="s">
        <v>337</v>
      </c>
      <c r="I34" s="3" t="s">
        <v>338</v>
      </c>
      <c r="J34" s="3" t="s">
        <v>339</v>
      </c>
      <c r="K34" s="3" t="s">
        <v>26</v>
      </c>
      <c r="L34" s="3" t="s">
        <v>25</v>
      </c>
      <c r="M34" s="3" t="s">
        <v>24</v>
      </c>
    </row>
    <row r="35" spans="1:13" ht="44.1" customHeight="1">
      <c r="A35" s="3" t="s">
        <v>181</v>
      </c>
      <c r="B35" s="3" t="s">
        <v>175</v>
      </c>
      <c r="C35" s="3" t="s">
        <v>176</v>
      </c>
      <c r="D35" s="3" t="s">
        <v>21</v>
      </c>
      <c r="E35" s="3" t="s">
        <v>182</v>
      </c>
      <c r="F35" s="3" t="s">
        <v>91</v>
      </c>
      <c r="G35" s="3" t="s">
        <v>78</v>
      </c>
      <c r="H35" s="3" t="s">
        <v>340</v>
      </c>
      <c r="I35" s="3" t="s">
        <v>341</v>
      </c>
      <c r="J35" s="3" t="s">
        <v>342</v>
      </c>
      <c r="K35" s="3" t="s">
        <v>26</v>
      </c>
      <c r="L35" s="3" t="s">
        <v>25</v>
      </c>
      <c r="M35" s="3" t="s">
        <v>343</v>
      </c>
    </row>
    <row r="36" spans="1:13" ht="44.1" customHeight="1">
      <c r="A36" s="3" t="s">
        <v>183</v>
      </c>
      <c r="B36" s="3" t="s">
        <v>175</v>
      </c>
      <c r="C36" s="3" t="s">
        <v>176</v>
      </c>
      <c r="D36" s="3" t="s">
        <v>21</v>
      </c>
      <c r="E36" s="3" t="s">
        <v>184</v>
      </c>
      <c r="F36" s="3" t="s">
        <v>185</v>
      </c>
      <c r="G36" s="3" t="s">
        <v>186</v>
      </c>
      <c r="H36" s="3" t="s">
        <v>344</v>
      </c>
      <c r="I36" s="3" t="s">
        <v>345</v>
      </c>
      <c r="J36" s="3" t="s">
        <v>346</v>
      </c>
      <c r="K36" s="3" t="s">
        <v>26</v>
      </c>
      <c r="L36" s="3" t="s">
        <v>25</v>
      </c>
      <c r="M36" s="3" t="s">
        <v>347</v>
      </c>
    </row>
    <row r="37" spans="1:13" ht="44.1" customHeight="1">
      <c r="A37" s="3" t="s">
        <v>187</v>
      </c>
      <c r="B37" s="3" t="s">
        <v>175</v>
      </c>
      <c r="C37" s="3" t="s">
        <v>176</v>
      </c>
      <c r="D37" s="3" t="s">
        <v>21</v>
      </c>
      <c r="E37" s="3" t="s">
        <v>188</v>
      </c>
      <c r="F37" s="3" t="s">
        <v>189</v>
      </c>
      <c r="G37" s="3" t="s">
        <v>144</v>
      </c>
      <c r="H37" s="3" t="s">
        <v>348</v>
      </c>
      <c r="I37" s="3" t="s">
        <v>302</v>
      </c>
      <c r="J37" s="3" t="s">
        <v>349</v>
      </c>
      <c r="K37" s="3" t="s">
        <v>26</v>
      </c>
      <c r="L37" s="3" t="s">
        <v>25</v>
      </c>
      <c r="M37" s="3"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Automation Tracker</vt:lpstr>
      <vt:lpstr>Execution History</vt:lpstr>
      <vt:lpstr>Test Data Strategy</vt:lpstr>
      <vt:lpstr>Manual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Abubakar Siddiq</cp:lastModifiedBy>
  <dcterms:modified xsi:type="dcterms:W3CDTF">2026-09-23T12:34:24Z</dcterms:modified>
</cp:coreProperties>
</file>